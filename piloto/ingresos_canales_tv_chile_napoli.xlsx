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ificación común" sheetId="1" state="visible" r:id="rId3"/>
    <sheet name="Tabla Napoli (rangos)" sheetId="2" state="visible" r:id="rId4"/>
    <sheet name="Tabla Napoli (punto)" sheetId="3" state="visible" r:id="rId5"/>
    <sheet name="Datos" sheetId="4" state="visible" r:id="rId6"/>
    <sheet name="Líneas codificadas" sheetId="5" state="visible" r:id="rId7"/>
    <sheet name="Rangos" sheetId="6" state="visible" r:id="rId8"/>
    <sheet name="Mapeo de líneas" sheetId="7" state="visible" r:id="rId9"/>
    <sheet name="Pendientes EEFF" sheetId="8" state="visible" r:id="rId10"/>
    <sheet name="Mercado AAM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<sst xmlns="http://schemas.openxmlformats.org/spreadsheetml/2006/main" count="1149" uniqueCount="227">
  <si>
    <t xml:space="preserve">Clasificación común a TVN, Canal 13, Mega y Chilevisión</t>
  </si>
  <si>
    <t xml:space="preserve">Nivel 1 = la partición más básica. Nivel 2 = la partición más fina que los cuatro canales permiten sin supuestos. Cifras de las notas de ingresos de los EEFF (hoja 'Líneas codificadas', columnas N y O).</t>
  </si>
  <si>
    <t xml:space="preserve">NIVEL 1 — Básico (% de ingresos de actividades ordinarias)</t>
  </si>
  <si>
    <t xml:space="preserve">Canal</t>
  </si>
  <si>
    <t xml:space="preserve">Categoría</t>
  </si>
  <si>
    <t xml:space="preserve">FY2024</t>
  </si>
  <si>
    <t xml:space="preserve">FY2025</t>
  </si>
  <si>
    <t xml:space="preserve">H1 2025</t>
  </si>
  <si>
    <t xml:space="preserve">H1 2026</t>
  </si>
  <si>
    <t xml:space="preserve">TVN</t>
  </si>
  <si>
    <t xml:space="preserve">Publicidad</t>
  </si>
  <si>
    <t xml:space="preserve">Otros ingresos</t>
  </si>
  <si>
    <t xml:space="preserve">Total</t>
  </si>
  <si>
    <t xml:space="preserve">Canal 13</t>
  </si>
  <si>
    <t xml:space="preserve">Mega</t>
  </si>
  <si>
    <t xml:space="preserve">Chilevisión</t>
  </si>
  <si>
    <t xml:space="preserve">NIVEL 2 — Común máximo (% de ingresos de actividades ordinarias)</t>
  </si>
  <si>
    <t xml:space="preserve">Otros ingresos operacionales</t>
  </si>
  <si>
    <t xml:space="preserve">Transferencias del Estado</t>
  </si>
  <si>
    <t xml:space="preserve">NIVEL 2 — Común máximo (M$)</t>
  </si>
  <si>
    <t xml:space="preserve">Reglas de asignación (idénticas para los cuatro canales):</t>
  </si>
  <si>
    <t xml:space="preserve">• Publicidad = toda línea que la nota rotula como publicidad: TVN 'publicidad en TV abierta'; Canal 13 'pantalla abierta' + 'otras plataformas'; Mega 'TV e internet' + 'radial y cable'; Chilevisión 'publicidad' (TV abierta + comisión TV paga).</t>
  </si>
  <si>
    <t xml:space="preserve">• Transferencias del Estado = subvención NTV (solo TVN, desde 2025). En los canales privados es un cero estructural, no un dato faltante.</t>
  </si>
  <si>
    <t xml:space="preserve">• Otros ingresos operacionales = el resto de ingresos de actividades ordinarias: señales, contenidos, plataformas, suscripciones, fees, arriendos, venta de activos, concursos, publicidad digital que el canal no rotula como publicidad.</t>
  </si>
  <si>
    <t xml:space="preserve">Por qué no se puede desagregar más de forma común:</t>
  </si>
  <si>
    <t xml:space="preserve">• Publicidad digital: solo Canal 13 la separa; Mega la junta con TV; Chilevisión y TVN la esconden en otros ingresos.</t>
  </si>
  <si>
    <t xml:space="preserve">• Publicidad en radio/cable: solo Mega la separa; Chilevisión la incluye dentro de 'publicidad' (comisión TV paga).</t>
  </si>
  <si>
    <t xml:space="preserve">• Venta de contenidos/señales: solo Mega tiene una línea pura; Canal 13, TVN y Chilevisión la mezclan con arriendos, activos, fees o publicidad digital.</t>
  </si>
  <si>
    <t xml:space="preserve">Advertencia: en Nivel 2 'Publicidad' no mide exactamente lo mismo en todos (Canal 13 y Mega incluyen digital; Mega incluye radio). Es la definición común más fina que no requiere supuestos. Chilevisión H1-2025 usa el comparativo reclasificado de 2026.</t>
  </si>
  <si>
    <t xml:space="preserve">Composición de ingresos de la TV abierta chilena en rangos (piso – techo), a la manera de Napoli (2003), Tabla 1.1</t>
  </si>
  <si>
    <t xml:space="preserve">Los rangos reflejan líneas de la nota de ingresos que mezclan categorías (ver 'Líneas codificadas'). Cuando piso = techo, la clasificación es exacta. Todas las cifras provienen de estados financieros (CMF).</t>
  </si>
  <si>
    <t xml:space="preserve">% venta de audiencias</t>
  </si>
  <si>
    <t xml:space="preserve">Nota</t>
  </si>
  <si>
    <t xml:space="preserve">EEFF. Piso = publicidad TV abierta; techo suma 'otros ingresos' (podría contener publicidad digital). Subvención NTV aislada como Fuera (2025–26).</t>
  </si>
  <si>
    <t xml:space="preserve">Audiencias exacta (dos líneas puras). La incertidumbre está entre Contenidos y Fuera (arriendos, venta de activos).</t>
  </si>
  <si>
    <t xml:space="preserve">Exacto (tres líneas puras). Incluye radios y cable; ver fila de perímetro TV.</t>
  </si>
  <si>
    <t xml:space="preserve">'Nuevos negocios' mezcla publicidad digital, señales/contenido, fees y concursos → rango en las tres categorías. H1-2025 según comparativo 2026 (reclasificado).</t>
  </si>
  <si>
    <t xml:space="preserve">% venta de contenidos</t>
  </si>
  <si>
    <t xml:space="preserve">% fuera de Napoli (arriendos, activos, fees, aportes)</t>
  </si>
  <si>
    <t xml:space="preserve">% venta de audiencias, perímetro TV (excluye publicidad radial/cable) — piso</t>
  </si>
  <si>
    <t xml:space="preserve">Nota Mega: los estados individuales de Megamedia S.A. (Oficio Circular 498, Anexo 3) informan ingresos de M$96.666.662 (2025) y M$94.456.363 (2024), sin desglose. La diferencia con el consolidado (≈M$8,2 mil millones) es cercana a la publicidad radial y cable, lo que respalda la variante 'perímetro TV'.</t>
  </si>
  <si>
    <t xml:space="preserve">Referencia Napoli (EE.UU., c. 2001): broadcast television 100% / 0%; cable television networks 60% / 40%.</t>
  </si>
  <si>
    <t xml:space="preserve">Composición de ingresos de los principales canales de TV abierta en Chile, a la manera de Napoli (2003), Tabla 1.1</t>
  </si>
  <si>
    <t xml:space="preserve">Venta de audiencias = toda la publicidad (TV, digital, radio/cable). Contenidos + otros = retransmisión/cableoperadores, señales, licencias, suscripciones, más ingresos no audiovisuales (arriendos, venta de activos, fees, aportes estatales). Todas las cifras provienen de estados financieros.</t>
  </si>
  <si>
    <t xml:space="preserve">% de ingresos por venta de audiencias (toda la publicidad)</t>
  </si>
  <si>
    <t xml:space="preserve">EEFF. Publicidad solo TV abierta; 'otros ingresos' = señal internacional + servicios. 2025–26 incluyen subvención NTV.</t>
  </si>
  <si>
    <t xml:space="preserve">EEFF completos. H1 2026: suben 'otros ingresos de explotación' (+23,8%).</t>
  </si>
  <si>
    <t xml:space="preserve">Consolidado Megamedia, incluye radios y cable.</t>
  </si>
  <si>
    <t xml:space="preserve">Publicidad digital va en 'nuevos negocios' → % subestimado. Q1 2026 (prensa): 90,9%.</t>
  </si>
  <si>
    <t xml:space="preserve">% de ingresos por venta de contenidos + otros</t>
  </si>
  <si>
    <t xml:space="preserve">% de ingresos por publicidad televisiva (núcleo 'broadcast')</t>
  </si>
  <si>
    <t xml:space="preserve">n.d. = sin cifra de publicidad para ese período. Mega: 'Publicidad TV' incluye internet (la nota no los separa).</t>
  </si>
  <si>
    <t xml:space="preserve">Clave</t>
  </si>
  <si>
    <t xml:space="preserve">Período</t>
  </si>
  <si>
    <t xml:space="preserve">Tipo</t>
  </si>
  <si>
    <t xml:space="preserve">Fuente del dato</t>
  </si>
  <si>
    <t xml:space="preserve">Ingresos ordinarios (M$)</t>
  </si>
  <si>
    <t xml:space="preserve">Publicidad TV (M$)</t>
  </si>
  <si>
    <t xml:space="preserve">Publicidad digital (M$)</t>
  </si>
  <si>
    <t xml:space="preserve">Publicidad radio/cable (M$)</t>
  </si>
  <si>
    <t xml:space="preserve">Venta de audiencias total (M$)</t>
  </si>
  <si>
    <t xml:space="preserve">Contenidos + otros (M$)</t>
  </si>
  <si>
    <t xml:space="preserve">% Audiencias</t>
  </si>
  <si>
    <t xml:space="preserve">% Contenidos + otros</t>
  </si>
  <si>
    <t xml:space="preserve">% Publicidad TV</t>
  </si>
  <si>
    <t xml:space="preserve">Fuente</t>
  </si>
  <si>
    <t xml:space="preserve">Anual</t>
  </si>
  <si>
    <t xml:space="preserve">EEFF</t>
  </si>
  <si>
    <t xml:space="preserve">EEFF Televisión Nacional de Chile al 31-dic-2024, Nota 21 a)</t>
  </si>
  <si>
    <t xml:space="preserve">'Otros ingresos' 17.086.817: principalmente venta de señal internacional a operadores de TV pago y otros servicios derivados de la actividad televisiva. Sin subvención NTV. 2023 (ref.): publicidad 34.655.366; otros 17.370.782; total 52.026.148.</t>
  </si>
  <si>
    <t xml:space="preserve">EEFF Televisión Nacional de Chile al 31-dic-2025, Nota 22 a) y Nota 1 (subvención NTV)</t>
  </si>
  <si>
    <t xml:space="preserve">Otros ingresos 19.127.723, que incluyen M$2.000.000 de subvención estatal NTV (Ley 19.132 art. 37). Publicidad = total − otros (tabla de la nota con fuente ilegible en el PDF; cifras de texto y comparativos confirman).</t>
  </si>
  <si>
    <t xml:space="preserve">Semestral</t>
  </si>
  <si>
    <t xml:space="preserve">EEFF intermedios Televisión Nacional de Chile al 30-jun-2026, Nota 22 a)</t>
  </si>
  <si>
    <t xml:space="preserve">Comparativo EEFF jun-2026: otros ingresos 8.141.775 + subvención NTV 2.000.000.</t>
  </si>
  <si>
    <t xml:space="preserve">Otros ingresos 7.990.951 + subvención NTV 1.703.714.</t>
  </si>
  <si>
    <t xml:space="preserve">EEFF Canal 13 SpA al 31-dic-2024 (auditor EY), Nota 20 'Ingresos de actividades ordinarias'; coincide con el comparativo de los EEFF 2025</t>
  </si>
  <si>
    <t xml:space="preserve">Sin reexpresión: EEFF 2024 y comparativo 2025 coinciden. 2023 (referencia): pantalla abierta 52.680.675; otras plataformas 3.244.433; otros 16.137.671; total 72.062.779. 'Otros ingresos de explotación' 18.965.459 incluye cableoperadores, digital no publicitario, nuevas señales, venta de contenidos, venta de activos y arriendos.</t>
  </si>
  <si>
    <t xml:space="preserve">EEFF Canal 13 SpA al 31-dic-2025 (auditor EY), Nota 21 'Ingresos de actividades ordinarias', p. 58</t>
  </si>
  <si>
    <t xml:space="preserve">Otros ingresos de explotación 18.980.969 (misma composición).</t>
  </si>
  <si>
    <t xml:space="preserve">EEFF intermedios Canal 13 SpA al 30-jun-2026 (no auditados), Nota 21, p. 62</t>
  </si>
  <si>
    <t xml:space="preserve">Comparativo de EEFF jun-2026. Otros ingresos de explotación 9.035.090.</t>
  </si>
  <si>
    <t xml:space="preserve">Otros ingresos de explotación 11.182.930 (+23,8%); el análisis razonado lo atribuye a 'otros negocios' y ventas en plataformas digitales. Q2-2026 solo: 6.503.584.</t>
  </si>
  <si>
    <t xml:space="preserve">EEFF consolidados Megamedia S.A. y subsidiarias al 31-dic-2025 (auditor Deloitte), Nota 7 a), p. 37</t>
  </si>
  <si>
    <t xml:space="preserve">Consolidado Megamedia. Publicidad TV + internet no se separa (va en col. TV). 'Plataformas, suscripciones y contenidos' 25.014.746 (de ello 7.064.725 ventas al extranjero). Radio y cable = publicidad radial y canal de cable.</t>
  </si>
  <si>
    <t xml:space="preserve">Plataformas, suscripciones y contenidos 22.126.761 (2.436.336 al extranjero). Nota: cifras de 94.456/96.666 citadas en prensa no corresponden al consolidado.</t>
  </si>
  <si>
    <t xml:space="preserve">EEFF intermedios consolidados Megamedia S.A. al 30-jun-2026, Nota 7 a)</t>
  </si>
  <si>
    <t xml:space="preserve">Comparativo EEFF jun-2026. Plataformas y contenidos 14.954.549.</t>
  </si>
  <si>
    <t xml:space="preserve">Q1 2026</t>
  </si>
  <si>
    <t xml:space="preserve">Trimestral</t>
  </si>
  <si>
    <t xml:space="preserve">EEFF intermedios consolidados Megamedia S.A. al 31-mar-2026, Nota 7 a)</t>
  </si>
  <si>
    <t xml:space="preserve">Plataformas y contenidos 5.509.634.</t>
  </si>
  <si>
    <t xml:space="preserve">Plataformas y contenidos 10.103.933 (−32,4% a/a); publicidad TV+internet +16,2%.</t>
  </si>
  <si>
    <t xml:space="preserve">EEFF Red de Televisión Chilevisión S.A. al 31-dic-2025, Nota 20, p. 45</t>
  </si>
  <si>
    <t xml:space="preserve">Comparativo de EEFF 2025. 'Publicidad' = TV abierta + comisión TV paga. 'Nuevos negocios' 6.564.923 incluye fee de administración, publicidad por internet, venta de señales y contenido (no separables).</t>
  </si>
  <si>
    <t xml:space="preserve">Nuevos negocios 7.516.324. La publicidad digital está dentro de nuevos negocios → % audiencias subestimado.</t>
  </si>
  <si>
    <t xml:space="preserve">EEFF intermedios Red de Televisión Chilevisión S.A. al 30-jun-2026, Nota 20</t>
  </si>
  <si>
    <t xml:space="preserve">Comparativo EEFF jun-2026: nuevos negocios 1.732.348. OJO: los EEFF a sep-2025 implican para H1-2025 publicidad 31.256.166 y nuevos negocios 3.970.381 (mismo total). El comparativo 2026 traslada ~M$2.238.033 de nuevos negocios a publicidad sin nota explicativa. Se usa el comparativo 2026 por consistencia con H1-2026; FY2024/FY2025 siguen la clasificación anterior.</t>
  </si>
  <si>
    <t xml:space="preserve">EEFF intermedios Red de Televisión Chilevisión S.A. al 31-mar-2026, Nota 20</t>
  </si>
  <si>
    <t xml:space="preserve">Nuevos negocios 1.373.833.</t>
  </si>
  <si>
    <t xml:space="preserve">Nuevos negocios 3.297.691 (+90% a/a); la empresa lo atribuye a negocios digitales y distribución.</t>
  </si>
  <si>
    <t xml:space="preserve">Leyenda: azul = cifra de la fuente; negro = fórmula. Filas en fondo salmón = cifra de prensa (en M$ = millones×1.000), a reemplazar con EEFF. M$ = miles de pesos nominales.</t>
  </si>
  <si>
    <t xml:space="preserve">Línea (texto de la nota)</t>
  </si>
  <si>
    <t xml:space="preserve">Monto (M$)</t>
  </si>
  <si>
    <t xml:space="preserve">Código Napoli principal</t>
  </si>
  <si>
    <t xml:space="preserve">Pureza</t>
  </si>
  <si>
    <t xml:space="preserve">¿Puede ser Audiencias?</t>
  </si>
  <si>
    <t xml:space="preserve">¿Puede ser Contenidos?</t>
  </si>
  <si>
    <t xml:space="preserve">¿Puede ser Fuera?</t>
  </si>
  <si>
    <t xml:space="preserve">Medio</t>
  </si>
  <si>
    <t xml:space="preserve">Justificación</t>
  </si>
  <si>
    <t xml:space="preserve">Documento</t>
  </si>
  <si>
    <t xml:space="preserve">Nivel 1 (básico)</t>
  </si>
  <si>
    <t xml:space="preserve">Nivel 2 (común máximo)</t>
  </si>
  <si>
    <t xml:space="preserve">Ingresos de Publicidad Pantalla abierta</t>
  </si>
  <si>
    <t xml:space="preserve">Audiencias</t>
  </si>
  <si>
    <t xml:space="preserve">Pura</t>
  </si>
  <si>
    <t xml:space="preserve">S</t>
  </si>
  <si>
    <t xml:space="preserve">N</t>
  </si>
  <si>
    <t xml:space="preserve">TV abierta</t>
  </si>
  <si>
    <t xml:space="preserve">Venta de espacios publicitarios en señal abierta.</t>
  </si>
  <si>
    <t xml:space="preserve">EEFF Canal 13 SpA dic-2024, Nota 20</t>
  </si>
  <si>
    <t xml:space="preserve">Ingresos de Publicidad Otras plataformas</t>
  </si>
  <si>
    <t xml:space="preserve">Digital</t>
  </si>
  <si>
    <t xml:space="preserve">Publicidad en sitios y plataformas digitales del canal.</t>
  </si>
  <si>
    <t xml:space="preserve">Otros ingresos de explotación</t>
  </si>
  <si>
    <t xml:space="preserve">Contenidos</t>
  </si>
  <si>
    <t xml:space="preserve">Mixta</t>
  </si>
  <si>
    <t xml:space="preserve">Mixto</t>
  </si>
  <si>
    <t xml:space="preserve">Según nota (a): cableoperadores, digital no publicitario, nuevas señales y venta de contenidos (Contenidos) + venta de activos, arriendos y servicios a productoras (Fuera). Código principal = Contenidos por declaración del análisis razonado.</t>
  </si>
  <si>
    <t xml:space="preserve">EEFF Canal 13 SpA dic-2025, Nota 21</t>
  </si>
  <si>
    <t xml:space="preserve">EEFF Canal 13 SpA jun-2026, Nota 21</t>
  </si>
  <si>
    <t xml:space="preserve">Ingresos por publicidad de televisión e internet</t>
  </si>
  <si>
    <t xml:space="preserve">TV abierta + digital</t>
  </si>
  <si>
    <t xml:space="preserve">Neto de comisiones de agencia; la nota no separa TV de internet.</t>
  </si>
  <si>
    <t xml:space="preserve">EEFF Megamedia consolidado dic-2025, Nota 7 a)</t>
  </si>
  <si>
    <t xml:space="preserve">Ingresos por ventas en plataformas y contenidos</t>
  </si>
  <si>
    <t xml:space="preserve">Plataformas/contenidos</t>
  </si>
  <si>
    <t xml:space="preserve">Plataformas, suscripciones y venta de contenidos (nacional y extranjero).</t>
  </si>
  <si>
    <t xml:space="preserve">Ingresos por publicidad radial y cable</t>
  </si>
  <si>
    <t xml:space="preserve">Radio/cable</t>
  </si>
  <si>
    <t xml:space="preserve">Publicidad en radios del grupo y canal de cable: audiencias, pero fuera del perímetro TV abierta.</t>
  </si>
  <si>
    <t xml:space="preserve">Ingresos por publicidad</t>
  </si>
  <si>
    <t xml:space="preserve">TV abierta + comisión por TV paga.</t>
  </si>
  <si>
    <t xml:space="preserve">EEFF Chilevisión dic-2025, Nota 20</t>
  </si>
  <si>
    <t xml:space="preserve">Ingresos nuevos negocios</t>
  </si>
  <si>
    <t xml:space="preserve">Según política contable 2026: venta de publicidad por internet (Audiencias), venta de señales y licencias de contenido (Contenidos), fee de administración cost-plus y concursos telefónicos/por internet (Fuera). Código principal = Contenidos.</t>
  </si>
  <si>
    <t xml:space="preserve">Ingresos por publicidad en televisión abierta</t>
  </si>
  <si>
    <t xml:space="preserve">Publicidad en señal abierta.</t>
  </si>
  <si>
    <t xml:space="preserve">EEFF TVN dic-2024, Nota 21 a)</t>
  </si>
  <si>
    <t xml:space="preserve">'Principalmente venta de señal internacional a operadores de TV pago' (Contenidos) y 'otros servicios derivados de la actividad televisiva' (puede incluir publicidad digital de 24horas.cl/tvn.cl y servicios a terceros). Código principal = Contenidos.</t>
  </si>
  <si>
    <t xml:space="preserve">EEFF TVN dic-2025, Nota 22 a)</t>
  </si>
  <si>
    <t xml:space="preserve">Subvención NTV</t>
  </si>
  <si>
    <t xml:space="preserve">Fuera de Napoli</t>
  </si>
  <si>
    <t xml:space="preserve">No aplica</t>
  </si>
  <si>
    <t xml:space="preserve">Transferencia del Estado (Ley 19.132 art. 37) para financiar la señal NTV; ni audiencias ni contenidos.</t>
  </si>
  <si>
    <t xml:space="preserve">EEFF TVN jun-2026, Nota 22 a)</t>
  </si>
  <si>
    <t xml:space="preserve">EEFF Megamedia consolidado jun-2026, Nota 7 a)</t>
  </si>
  <si>
    <t xml:space="preserve">EEFF Megamedia consolidado mar-2026, Nota 7 a)</t>
  </si>
  <si>
    <t xml:space="preserve">EEFF Chilevisión jun-2026, Nota 20</t>
  </si>
  <si>
    <t xml:space="preserve">EEFF Chilevisión mar-2026, Nota 20</t>
  </si>
  <si>
    <t xml:space="preserve">Celdas amarillas = decisiones de codificación editables (listas desplegables). Regla: una línea Pura tiene una sola 'S' coincidente con su código; una Mixta marca 'S' en cada categoría que su descripción admite. Pisos/techos en hoja 'Rangos' se recalculan solos.</t>
  </si>
  <si>
    <t xml:space="preserve">Filas de prensa (fondo salmón): la línea 'Resto' es el residuo total − publicidad, marcado Mixto con las tres categorías posibles. Mega H1 2026 y CHV H1 2026 no se codifican: la prensa no da publicidad.</t>
  </si>
  <si>
    <t xml:space="preserve">Total (M$)</t>
  </si>
  <si>
    <t xml:space="preserve">Aud. piso</t>
  </si>
  <si>
    <t xml:space="preserve">Aud. techo</t>
  </si>
  <si>
    <t xml:space="preserve">Cont. piso</t>
  </si>
  <si>
    <t xml:space="preserve">Cont. techo</t>
  </si>
  <si>
    <t xml:space="preserve">Fuera piso</t>
  </si>
  <si>
    <t xml:space="preserve">Fuera techo</t>
  </si>
  <si>
    <t xml:space="preserve">Aud. punto</t>
  </si>
  <si>
    <t xml:space="preserve">Cont. punto</t>
  </si>
  <si>
    <t xml:space="preserve">Fuera punto</t>
  </si>
  <si>
    <t xml:space="preserve">% Aud. piso</t>
  </si>
  <si>
    <t xml:space="preserve">% Aud. techo</t>
  </si>
  <si>
    <t xml:space="preserve">% Cont. piso</t>
  </si>
  <si>
    <t xml:space="preserve">% Cont. techo</t>
  </si>
  <si>
    <t xml:space="preserve">% Fuera piso</t>
  </si>
  <si>
    <t xml:space="preserve">% Fuera techo</t>
  </si>
  <si>
    <t xml:space="preserve">% Aud. punto</t>
  </si>
  <si>
    <t xml:space="preserve">% Cont. punto</t>
  </si>
  <si>
    <t xml:space="preserve">Radio/cable (M$)</t>
  </si>
  <si>
    <t xml:space="preserve">% Aud. perímetro TV (piso)</t>
  </si>
  <si>
    <t xml:space="preserve">Cuadre vs hoja Datos (M$)</t>
  </si>
  <si>
    <t xml:space="preserve">Piso = suma de líneas Puras con ese código. Techo = suma de líneas que pueden ser de esa categoría (Puras + Mixtas marcadas 'S'). Punto = asigna cada línea a su código principal. Perímetro TV = excluye publicidad radial/cable del numerador y del denominador. Cuadre debe ser 0.</t>
  </si>
  <si>
    <t xml:space="preserve">Línea en la nota de ingresos</t>
  </si>
  <si>
    <t xml:space="preserve">Categoría asignada</t>
  </si>
  <si>
    <t xml:space="preserve">Comentario</t>
  </si>
  <si>
    <t xml:space="preserve">Audiencias – TV</t>
  </si>
  <si>
    <t xml:space="preserve">Audiencias – digital</t>
  </si>
  <si>
    <t xml:space="preserve">Contenidos + otros</t>
  </si>
  <si>
    <t xml:space="preserve">Mezcla cableoperadores (13C, 13REC), digital no publicitario, nuevas señales, venta de contenidos, venta de activos, arriendos y servicios a productoras.</t>
  </si>
  <si>
    <t xml:space="preserve">Audiencias – TV (incl. internet)</t>
  </si>
  <si>
    <t xml:space="preserve">Neto de comisiones de agencia.</t>
  </si>
  <si>
    <t xml:space="preserve">Audiencias – radio/cable</t>
  </si>
  <si>
    <t xml:space="preserve">Radios del grupo y canal de cable; es venta de audiencias, pero no de TV abierta.</t>
  </si>
  <si>
    <t xml:space="preserve">Plataformas, suscripciones, venta de contenidos (nacional y extranjero). Es lo más cercano a 'content sales' puro.</t>
  </si>
  <si>
    <t xml:space="preserve">Incluye fee de administración (cost-plus), publicidad por internet, venta de señales y contenido. Contiene algo de venta de audiencias (internet) no separable.</t>
  </si>
  <si>
    <t xml:space="preserve">Principalmente venta de señal internacional a operadores de TV pago y otros servicios derivados de la actividad televisiva.</t>
  </si>
  <si>
    <t xml:space="preserve">Transferencia estatal; desde 2025 (M$2.000.000 en 2025; M$1.703.714 en H1 2026).</t>
  </si>
  <si>
    <t xml:space="preserve">Archivo faltante</t>
  </si>
  <si>
    <t xml:space="preserve">Para qué</t>
  </si>
  <si>
    <t xml:space="preserve">Recibidos</t>
  </si>
  <si>
    <t xml:space="preserve">Todos los EEFF necesarios recibidos. CHV sep-2025 a jun-2026; Mega dic-2024 a jun-2026; TVN trimestrales mar-2024 a jun-2026; C13 dic-2024, dic-2025 y jun-2026; Mega dic-2025 y dic-2024; CHV dic-2025</t>
  </si>
  <si>
    <t xml:space="preserve">Integrados en esta versión</t>
  </si>
  <si>
    <t xml:space="preserve">Contraste con la inversión publicitaria en TV abierta (AAM)</t>
  </si>
  <si>
    <t xml:space="preserve">Ojo: AAM mide inversión de avisadores reportada por agencias; los canales informan ingresos netos de comisiones y descuentos. Sirve como control de plausibilidad, no para imputar.</t>
  </si>
  <si>
    <t xml:space="preserve">Concepto</t>
  </si>
  <si>
    <t xml:space="preserve">Inversión publicitaria total (MM$)</t>
  </si>
  <si>
    <t xml:space="preserve">AAM vía Insider Latam (ago-2025) y Publimark (2026)</t>
  </si>
  <si>
    <t xml:space="preserve">Participación TV abierta</t>
  </si>
  <si>
    <t xml:space="preserve">AAM</t>
  </si>
  <si>
    <t xml:space="preserve">Inversión en TV abierta (MM$)</t>
  </si>
  <si>
    <t xml:space="preserve">Cálculo</t>
  </si>
  <si>
    <t xml:space="preserve">Canal 13: publicidad pantalla abierta (MM$)</t>
  </si>
  <si>
    <t xml:space="preserve">EEFF C13 jun-2026, Nota 21</t>
  </si>
  <si>
    <t xml:space="preserve">TVN: publicidad TV abierta (MM$)</t>
  </si>
  <si>
    <t xml:space="preserve">Mega: publicidad TV + internet (MM$)</t>
  </si>
  <si>
    <t xml:space="preserve">EEFF Megamedia jun-2026, Nota 7 a)</t>
  </si>
  <si>
    <t xml:space="preserve">Chilevisión: publicidad (MM$)</t>
  </si>
  <si>
    <t xml:space="preserve">EEFF Chilevisión jun-2026, Nota 20 (TV abierta + comisión TV paga)</t>
  </si>
  <si>
    <t xml:space="preserve">Suma de los cuatro canales (MM$)</t>
  </si>
  <si>
    <t xml:space="preserve">Cobertura: suma canales / inversión AAM TV abierta</t>
  </si>
  <si>
    <t xml:space="preserve">Cálculo. Puede superar 100%: Mega incluye publicidad por internet en su línea.</t>
  </si>
  <si>
    <t xml:space="preserve">Residuo AAM para Chilevisión + otros canales (MM$)</t>
  </si>
  <si>
    <t xml:space="preserve">Cálculo (incluye La Red, TV+, regionales y diferencias de medición; Mega incluye internet)</t>
  </si>
  <si>
    <t xml:space="preserve">AAM 2025 (año): inversión total +4%; TV abierta ~23% de participación, +0,7%; TV pago -24,9%; radio -0,8% (Publimark).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</si>
</sst>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;\(#,##0\);\-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6" min="3" style="0" width="14"/>
  </cols>
  <sheetData>
    <row r="1" customFormat="false" ht="16.1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3" t="s">
        <v>9</v>
      </c>
      <c r="B6" s="5" t="s">
        <v>10</v>
      </c>
      <c r="C6" s="6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codificadas'!$N$2:$N$49,"Publicidad")/SUMIFS('Líneas codificadas'!$E$2:$E$49,'Líneas codificadas'!$A$2:$A$49,"TVN",'Líneas codificadas'!$B$2:$B$49,"FY2024"))</f>
        <v>0.63528698826558</v>
      </c>
      <c r="D6" s="6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codificadas'!$N$2:$N$49,"Publicidad")/SUMIFS('Líneas codificadas'!$E$2:$E$49,'Líneas codificadas'!$A$2:$A$49,"TVN",'Líneas codificadas'!$B$2:$B$49,"FY2025"))</f>
        <v>0.600802168021228</v>
      </c>
      <c r="E6" s="6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codificadas'!$N$2:$N$49,"Publicidad")/SUMIFS('Líneas codificadas'!$E$2:$E$49,'Líneas codificadas'!$A$2:$A$49,"TVN",'Líneas codificadas'!$B$2:$B$49,"H1 2025"))</f>
        <v>0.581562177497737</v>
      </c>
      <c r="F6" s="6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codificadas'!$N$2:$N$49,"Publicidad")/SUMIFS('Líneas codificadas'!$E$2:$E$49,'Líneas codificadas'!$A$2:$A$49,"TVN",'Líneas codificadas'!$B$2:$B$49,"H1 2026"))</f>
        <v>0.565088845392781</v>
      </c>
    </row>
    <row r="7" customFormat="false" ht="15" hidden="false" customHeight="false" outlineLevel="0" collapsed="false">
      <c r="A7" s="5"/>
      <c r="B7" s="5" t="s">
        <v>11</v>
      </c>
      <c r="C7" s="6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codificadas'!$N$2:$N$49,"Otros ingresos")/SUMIFS('Líneas codificadas'!$E$2:$E$49,'Líneas codificadas'!$A$2:$A$49,"TVN",'Líneas codificadas'!$B$2:$B$49,"FY2024"))</f>
        <v>0.364713011734421</v>
      </c>
      <c r="D7" s="6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codificadas'!$N$2:$N$49,"Otros ingresos")/SUMIFS('Líneas codificadas'!$E$2:$E$49,'Líneas codificadas'!$A$2:$A$49,"TVN",'Líneas codificadas'!$B$2:$B$49,"FY2025"))</f>
        <v>0.399197831978772</v>
      </c>
      <c r="E7" s="6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codificadas'!$N$2:$N$49,"Otros ingresos")/SUMIFS('Líneas codificadas'!$E$2:$E$49,'Líneas codificadas'!$A$2:$A$49,"TVN",'Líneas codificadas'!$B$2:$B$49,"H1 2025"))</f>
        <v>0.418437822502263</v>
      </c>
      <c r="F7" s="6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codificadas'!$N$2:$N$49,"Otros ingresos")/SUMIFS('Líneas codificadas'!$E$2:$E$49,'Líneas codificadas'!$A$2:$A$49,"TVN",'Líneas codificadas'!$B$2:$B$49,"H1 2026"))</f>
        <v>0.434911154607219</v>
      </c>
    </row>
    <row r="8" customFormat="false" ht="15" hidden="false" customHeight="false" outlineLevel="0" collapsed="false">
      <c r="A8" s="7"/>
      <c r="B8" s="8" t="s">
        <v>12</v>
      </c>
      <c r="C8" s="9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codificadas'!$B$2:$B$49,"FY2024")/SUMIFS('Líneas codificadas'!$E$2:$E$49,'Líneas codificadas'!$A$2:$A$49,"TVN",'Líneas codificadas'!$B$2:$B$49,"FY2024"))</f>
        <v>1</v>
      </c>
      <c r="D8" s="9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codificadas'!$B$2:$B$49,"FY2025")/SUMIFS('Líneas codificadas'!$E$2:$E$49,'Líneas codificadas'!$A$2:$A$49,"TVN",'Líneas codificadas'!$B$2:$B$49,"FY2025"))</f>
        <v>1</v>
      </c>
      <c r="E8" s="9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2025")/SUMIFS('Líneas codificadas'!$E$2:$E$49,'Líneas codificadas'!$A$2:$A$49,"TVN",'Líneas codificadas'!$B$2:$B$49,"H1 2025"))</f>
        <v>1</v>
      </c>
      <c r="F8" s="9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2026")/SUMIFS('Líneas codificadas'!$E$2:$E$49,'Líneas codificadas'!$A$2:$A$49,"TVN",'Líneas codificadas'!$B$2:$B$49,"H1 2026"))</f>
        <v>1</v>
      </c>
    </row>
    <row r="9" customFormat="false" ht="15" hidden="false" customHeight="false" outlineLevel="0" collapsed="false">
      <c r="A9" s="3" t="s">
        <v>13</v>
      </c>
      <c r="B9" s="5" t="s">
        <v>10</v>
      </c>
      <c r="C9" s="6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codificadas'!$N$2:$N$49,"Publicidad")/SUMIFS('Líneas codificadas'!$E$2:$E$49,'Líneas codificadas'!$A$2:$A$49,"Canal 13",'Líneas codificadas'!$B$2:$B$49,"FY2024"))</f>
        <v>0.759657970584799</v>
      </c>
      <c r="D9" s="6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codificadas'!$N$2:$N$49,"Publicidad")/SUMIFS('Líneas codificadas'!$E$2:$E$49,'Líneas codificadas'!$A$2:$A$49,"Canal 13",'Líneas codificadas'!$B$2:$B$49,"FY2025"))</f>
        <v>0.767246109247676</v>
      </c>
      <c r="E9" s="6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codificadas'!$N$2:$N$49,"Publicidad")/SUMIFS('Líneas codificadas'!$E$2:$E$49,'Líneas codificadas'!$A$2:$A$49,"Canal 13",'Líneas codificadas'!$B$2:$B$49,"H1 2025"))</f>
        <v>0.756881876309673</v>
      </c>
      <c r="F9" s="6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codificadas'!$N$2:$N$49,"Publicidad")/SUMIFS('Líneas codificadas'!$E$2:$E$49,'Líneas codificadas'!$A$2:$A$49,"Canal 13",'Líneas codificadas'!$B$2:$B$49,"H1 2026"))</f>
        <v>0.708701785682516</v>
      </c>
    </row>
    <row r="10" customFormat="false" ht="15" hidden="false" customHeight="false" outlineLevel="0" collapsed="false">
      <c r="A10" s="5"/>
      <c r="B10" s="5" t="s">
        <v>11</v>
      </c>
      <c r="C10" s="6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codificadas'!$N$2:$N$49,"Otros ingresos")/SUMIFS('Líneas codificadas'!$E$2:$E$49,'Líneas codificadas'!$A$2:$A$49,"Canal 13",'Líneas codificadas'!$B$2:$B$49,"FY2024"))</f>
        <v>0.240342029415201</v>
      </c>
      <c r="D10" s="6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codificadas'!$N$2:$N$49,"Otros ingresos")/SUMIFS('Líneas codificadas'!$E$2:$E$49,'Líneas codificadas'!$A$2:$A$49,"Canal 13",'Líneas codificadas'!$B$2:$B$49,"FY2025"))</f>
        <v>0.232753890752324</v>
      </c>
      <c r="E10" s="6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codificadas'!$N$2:$N$49,"Otros ingresos")/SUMIFS('Líneas codificadas'!$E$2:$E$49,'Líneas codificadas'!$A$2:$A$49,"Canal 13",'Líneas codificadas'!$B$2:$B$49,"H1 2025"))</f>
        <v>0.243118123690327</v>
      </c>
      <c r="F10" s="6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codificadas'!$N$2:$N$49,"Otros ingresos")/SUMIFS('Líneas codificadas'!$E$2:$E$49,'Líneas codificadas'!$A$2:$A$49,"Canal 13",'Líneas codificadas'!$B$2:$B$49,"H1 2026"))</f>
        <v>0.291298214317484</v>
      </c>
    </row>
    <row r="11" customFormat="false" ht="15" hidden="false" customHeight="false" outlineLevel="0" collapsed="false">
      <c r="A11" s="7"/>
      <c r="B11" s="8" t="s">
        <v>12</v>
      </c>
      <c r="C11" s="9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codificadas'!$B$2:$B$49,"FY2024")/SUMIFS('Líneas codificadas'!$E$2:$E$49,'Líneas codificadas'!$A$2:$A$49,"Canal 13",'Líneas codificadas'!$B$2:$B$49,"FY2024"))</f>
        <v>1</v>
      </c>
      <c r="D11" s="9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codificadas'!$B$2:$B$49,"FY2025")/SUMIFS('Líneas codificadas'!$E$2:$E$49,'Líneas codificadas'!$A$2:$A$49,"Canal 13",'Líneas codificadas'!$B$2:$B$49,"FY2025"))</f>
        <v>1</v>
      </c>
      <c r="E11" s="9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2025")/SUMIFS('Líneas codificadas'!$E$2:$E$49,'Líneas codificadas'!$A$2:$A$49,"Canal 13",'Líneas codificadas'!$B$2:$B$49,"H1 2025"))</f>
        <v>1</v>
      </c>
      <c r="F11" s="9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2026")/SUMIFS('Líneas codificadas'!$E$2:$E$49,'Líneas codificadas'!$A$2:$A$49,"Canal 13",'Líneas codificadas'!$B$2:$B$49,"H1 2026"))</f>
        <v>1</v>
      </c>
    </row>
    <row r="12" customFormat="false" ht="15" hidden="false" customHeight="false" outlineLevel="0" collapsed="false">
      <c r="A12" s="3" t="s">
        <v>14</v>
      </c>
      <c r="B12" s="5" t="s">
        <v>10</v>
      </c>
      <c r="C12" s="6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codificadas'!$N$2:$N$49,"Publicidad")/SUMIFS('Líneas codificadas'!$E$2:$E$49,'Líneas codificadas'!$A$2:$A$49,"Mega",'Líneas codificadas'!$B$2:$B$49,"FY2024"))</f>
        <v>0.756949259477649</v>
      </c>
      <c r="D12" s="6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codificadas'!$N$2:$N$49,"Publicidad")/SUMIFS('Líneas codificadas'!$E$2:$E$49,'Líneas codificadas'!$A$2:$A$49,"Mega",'Líneas codificadas'!$B$2:$B$49,"FY2025"))</f>
        <v>0.788947467639852</v>
      </c>
      <c r="E12" s="6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codificadas'!$N$2:$N$49,"Publicidad")/SUMIFS('Líneas codificadas'!$E$2:$E$49,'Líneas codificadas'!$A$2:$A$49,"Mega",'Líneas codificadas'!$B$2:$B$49,"H1 2025"))</f>
        <v>0.725853153574839</v>
      </c>
      <c r="F12" s="6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codificadas'!$N$2:$N$49,"Publicidad")/SUMIFS('Líneas codificadas'!$E$2:$E$49,'Líneas codificadas'!$A$2:$A$49,"Mega",'Líneas codificadas'!$B$2:$B$49,"H1 2026"))</f>
        <v>0.820963260900112</v>
      </c>
    </row>
    <row r="13" customFormat="false" ht="15" hidden="false" customHeight="false" outlineLevel="0" collapsed="false">
      <c r="A13" s="5"/>
      <c r="B13" s="5" t="s">
        <v>11</v>
      </c>
      <c r="C13" s="6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codificadas'!$N$2:$N$49,"Otros ingresos")/SUMIFS('Líneas codificadas'!$E$2:$E$49,'Líneas codificadas'!$A$2:$A$49,"Mega",'Líneas codificadas'!$B$2:$B$49,"FY2024"))</f>
        <v>0.243050740522351</v>
      </c>
      <c r="D13" s="6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codificadas'!$N$2:$N$49,"Otros ingresos")/SUMIFS('Líneas codificadas'!$E$2:$E$49,'Líneas codificadas'!$A$2:$A$49,"Mega",'Líneas codificadas'!$B$2:$B$49,"FY2025"))</f>
        <v>0.211052532360148</v>
      </c>
      <c r="E13" s="6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codificadas'!$N$2:$N$49,"Otros ingresos")/SUMIFS('Líneas codificadas'!$E$2:$E$49,'Líneas codificadas'!$A$2:$A$49,"Mega",'Líneas codificadas'!$B$2:$B$49,"H1 2025"))</f>
        <v>0.274146846425161</v>
      </c>
      <c r="F13" s="6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codificadas'!$N$2:$N$49,"Otros ingresos")/SUMIFS('Líneas codificadas'!$E$2:$E$49,'Líneas codificadas'!$A$2:$A$49,"Mega",'Líneas codificadas'!$B$2:$B$49,"H1 2026"))</f>
        <v>0.179036739099888</v>
      </c>
    </row>
    <row r="14" customFormat="false" ht="15" hidden="false" customHeight="false" outlineLevel="0" collapsed="false">
      <c r="A14" s="7"/>
      <c r="B14" s="8" t="s">
        <v>12</v>
      </c>
      <c r="C14" s="9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codificadas'!$B$2:$B$49,"FY2024")/SUMIFS('Líneas codificadas'!$E$2:$E$49,'Líneas codificadas'!$A$2:$A$49,"Mega",'Líneas codificadas'!$B$2:$B$49,"FY2024"))</f>
        <v>1</v>
      </c>
      <c r="D14" s="9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codificadas'!$B$2:$B$49,"FY2025")/SUMIFS('Líneas codificadas'!$E$2:$E$49,'Líneas codificadas'!$A$2:$A$49,"Mega",'Líneas codificadas'!$B$2:$B$49,"FY2025"))</f>
        <v>1</v>
      </c>
      <c r="E14" s="9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2025")/SUMIFS('Líneas codificadas'!$E$2:$E$49,'Líneas codificadas'!$A$2:$A$49,"Mega",'Líneas codificadas'!$B$2:$B$49,"H1 2025"))</f>
        <v>1</v>
      </c>
      <c r="F14" s="9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2026")/SUMIFS('Líneas codificadas'!$E$2:$E$49,'Líneas codificadas'!$A$2:$A$49,"Mega",'Líneas codificadas'!$B$2:$B$49,"H1 2026"))</f>
        <v>1</v>
      </c>
    </row>
    <row r="15" customFormat="false" ht="15" hidden="false" customHeight="false" outlineLevel="0" collapsed="false">
      <c r="A15" s="3" t="s">
        <v>15</v>
      </c>
      <c r="B15" s="5" t="s">
        <v>10</v>
      </c>
      <c r="C15" s="6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codificadas'!$N$2:$N$49,"Publicidad")/SUMIFS('Líneas codificadas'!$E$2:$E$49,'Líneas codificadas'!$A$2:$A$49,"Chilevisión",'Líneas codificadas'!$B$2:$B$49,"FY2024"))</f>
        <v>0.910459021762409</v>
      </c>
      <c r="D15" s="6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codificadas'!$N$2:$N$49,"Publicidad")/SUMIFS('Líneas codificadas'!$E$2:$E$49,'Líneas codificadas'!$A$2:$A$49,"Chilevisión",'Líneas codificadas'!$B$2:$B$49,"FY2025"))</f>
        <v>0.896323962891206</v>
      </c>
      <c r="E15" s="6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codificadas'!$N$2:$N$49,"Publicidad")/SUMIFS('Líneas codificadas'!$E$2:$E$49,'Líneas codificadas'!$A$2:$A$49,"Chilevisión",'Líneas codificadas'!$B$2:$B$49,"H1 2025"))</f>
        <v>0.95082265656069</v>
      </c>
      <c r="F15" s="6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codificadas'!$N$2:$N$49,"Publicidad")/SUMIFS('Líneas codificadas'!$E$2:$E$49,'Líneas codificadas'!$A$2:$A$49,"Chilevisión",'Líneas codificadas'!$B$2:$B$49,"H1 2026"))</f>
        <v>0.90898240438524</v>
      </c>
    </row>
    <row r="16" customFormat="false" ht="15" hidden="false" customHeight="false" outlineLevel="0" collapsed="false">
      <c r="A16" s="5"/>
      <c r="B16" s="5" t="s">
        <v>11</v>
      </c>
      <c r="C16" s="6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codificadas'!$N$2:$N$49,"Otros ingresos")/SUMIFS('Líneas codificadas'!$E$2:$E$49,'Líneas codificadas'!$A$2:$A$49,"Chilevisión",'Líneas codificadas'!$B$2:$B$49,"FY2024"))</f>
        <v>0.0895409782375908</v>
      </c>
      <c r="D16" s="6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codificadas'!$N$2:$N$49,"Otros ingresos")/SUMIFS('Líneas codificadas'!$E$2:$E$49,'Líneas codificadas'!$A$2:$A$49,"Chilevisión",'Líneas codificadas'!$B$2:$B$49,"FY2025"))</f>
        <v>0.103676037108794</v>
      </c>
      <c r="E16" s="6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codificadas'!$N$2:$N$49,"Otros ingresos")/SUMIFS('Líneas codificadas'!$E$2:$E$49,'Líneas codificadas'!$A$2:$A$49,"Chilevisión",'Líneas codificadas'!$B$2:$B$49,"H1 2025"))</f>
        <v>0.0491773434393101</v>
      </c>
      <c r="F16" s="6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codificadas'!$N$2:$N$49,"Otros ingresos")/SUMIFS('Líneas codificadas'!$E$2:$E$49,'Líneas codificadas'!$A$2:$A$49,"Chilevisión",'Líneas codificadas'!$B$2:$B$49,"H1 2026"))</f>
        <v>0.0910175956147599</v>
      </c>
    </row>
    <row r="17" customFormat="false" ht="15" hidden="false" customHeight="false" outlineLevel="0" collapsed="false">
      <c r="A17" s="7"/>
      <c r="B17" s="8" t="s">
        <v>12</v>
      </c>
      <c r="C17" s="9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codificadas'!$B$2:$B$49,"FY2024")/SUMIFS('Líneas codificadas'!$E$2:$E$49,'Líneas codificadas'!$A$2:$A$49,"Chilevisión",'Líneas codificadas'!$B$2:$B$49,"FY2024"))</f>
        <v>1</v>
      </c>
      <c r="D17" s="9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codificadas'!$B$2:$B$49,"FY2025")/SUMIFS('Líneas codificadas'!$E$2:$E$49,'Líneas codificadas'!$A$2:$A$49,"Chilevisión",'Líneas codificadas'!$B$2:$B$49,"FY2025"))</f>
        <v>1</v>
      </c>
      <c r="E17" s="9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2025")/SUMIFS('Líneas codificadas'!$E$2:$E$49,'Líneas codificadas'!$A$2:$A$49,"Chilevisión",'Líneas codificadas'!$B$2:$B$49,"H1 2025"))</f>
        <v>1</v>
      </c>
      <c r="F17" s="9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2026")/SUMIFS('Líneas codificadas'!$E$2:$E$49,'Líneas codificadas'!$A$2:$A$49,"Chilevisión",'Líneas codificadas'!$B$2:$B$49,"H1 2026"))</f>
        <v>1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4" t="s">
        <v>3</v>
      </c>
      <c r="B20" s="4" t="s">
        <v>4</v>
      </c>
      <c r="C20" s="4" t="s">
        <v>5</v>
      </c>
      <c r="D20" s="4" t="s">
        <v>6</v>
      </c>
      <c r="E20" s="4" t="s">
        <v>7</v>
      </c>
      <c r="F20" s="4" t="s">
        <v>8</v>
      </c>
    </row>
    <row r="21" customFormat="false" ht="15" hidden="false" customHeight="false" outlineLevel="0" collapsed="false">
      <c r="A21" s="3" t="s">
        <v>9</v>
      </c>
      <c r="B21" s="5" t="s">
        <v>10</v>
      </c>
      <c r="C21" s="6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codificadas'!$O$2:$O$49,"Publicidad")/SUMIFS('Líneas codificadas'!$E$2:$E$49,'Líneas codificadas'!$A$2:$A$49,"TVN",'Líneas codificadas'!$B$2:$B$49,"FY2024"))</f>
        <v>0.63528698826558</v>
      </c>
      <c r="D21" s="6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codificadas'!$O$2:$O$49,"Publicidad")/SUMIFS('Líneas codificadas'!$E$2:$E$49,'Líneas codificadas'!$A$2:$A$49,"TVN",'Líneas codificadas'!$B$2:$B$49,"FY2025"))</f>
        <v>0.600802168021228</v>
      </c>
      <c r="E21" s="6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codificadas'!$O$2:$O$49,"Publicidad")/SUMIFS('Líneas codificadas'!$E$2:$E$49,'Líneas codificadas'!$A$2:$A$49,"TVN",'Líneas codificadas'!$B$2:$B$49,"H1 2025"))</f>
        <v>0.581562177497737</v>
      </c>
      <c r="F21" s="6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codificadas'!$O$2:$O$49,"Publicidad")/SUMIFS('Líneas codificadas'!$E$2:$E$49,'Líneas codificadas'!$A$2:$A$49,"TVN",'Líneas codificadas'!$B$2:$B$49,"H1 2026"))</f>
        <v>0.565088845392781</v>
      </c>
    </row>
    <row r="22" customFormat="false" ht="15" hidden="false" customHeight="false" outlineLevel="0" collapsed="false">
      <c r="A22" s="5"/>
      <c r="B22" s="5" t="s">
        <v>17</v>
      </c>
      <c r="C22" s="6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codificadas'!$O$2:$O$49,"Otros ingresos operacionales")/SUMIFS('Líneas codificadas'!$E$2:$E$49,'Líneas codificadas'!$A$2:$A$49,"TVN",'Líneas codificadas'!$B$2:$B$49,"FY2024"))</f>
        <v>0.364713011734421</v>
      </c>
      <c r="D22" s="6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codificadas'!$O$2:$O$49,"Otros ingresos operacionales")/SUMIFS('Líneas codificadas'!$E$2:$E$49,'Líneas codificadas'!$A$2:$A$49,"TVN",'Líneas codificadas'!$B$2:$B$49,"FY2025"))</f>
        <v>0.357457596407735</v>
      </c>
      <c r="E22" s="6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codificadas'!$O$2:$O$49,"Otros ingresos operacionales")/SUMIFS('Líneas codificadas'!$E$2:$E$49,'Líneas codificadas'!$A$2:$A$49,"TVN",'Líneas codificadas'!$B$2:$B$49,"H1 2025"))</f>
        <v>0.335920152271507</v>
      </c>
      <c r="F22" s="6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codificadas'!$O$2:$O$49,"Otros ingresos operacionales")/SUMIFS('Líneas codificadas'!$E$2:$E$49,'Líneas codificadas'!$A$2:$A$49,"TVN",'Líneas codificadas'!$B$2:$B$49,"H1 2026"))</f>
        <v>0.358481053839375</v>
      </c>
    </row>
    <row r="23" customFormat="false" ht="15" hidden="false" customHeight="false" outlineLevel="0" collapsed="false">
      <c r="A23" s="5"/>
      <c r="B23" s="5" t="s">
        <v>18</v>
      </c>
      <c r="C23" s="6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codificadas'!$O$2:$O$49,"Transferencias del Estado")/SUMIFS('Líneas codificadas'!$E$2:$E$49,'Líneas codificadas'!$A$2:$A$49,"TVN",'Líneas codificadas'!$B$2:$B$49,"FY2024"))</f>
        <v>0</v>
      </c>
      <c r="D23" s="6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codificadas'!$O$2:$O$49,"Transferencias del Estado")/SUMIFS('Líneas codificadas'!$E$2:$E$49,'Líneas codificadas'!$A$2:$A$49,"TVN",'Líneas codificadas'!$B$2:$B$49,"FY2025"))</f>
        <v>0.0417402355710371</v>
      </c>
      <c r="E23" s="6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codificadas'!$O$2:$O$49,"Transferencias del Estado")/SUMIFS('Líneas codificadas'!$E$2:$E$49,'Líneas codificadas'!$A$2:$A$49,"TVN",'Líneas codificadas'!$B$2:$B$49,"H1 2025"))</f>
        <v>0.0825176702307561</v>
      </c>
      <c r="F23" s="6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codificadas'!$O$2:$O$49,"Transferencias del Estado")/SUMIFS('Líneas codificadas'!$E$2:$E$49,'Líneas codificadas'!$A$2:$A$49,"TVN",'Líneas codificadas'!$B$2:$B$49,"H1 2026"))</f>
        <v>0.0764301007678432</v>
      </c>
    </row>
    <row r="24" customFormat="false" ht="15" hidden="false" customHeight="false" outlineLevel="0" collapsed="false">
      <c r="A24" s="7"/>
      <c r="B24" s="8" t="s">
        <v>12</v>
      </c>
      <c r="C24" s="9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codificadas'!$B$2:$B$49,"FY2024")/SUMIFS('Líneas codificadas'!$E$2:$E$49,'Líneas codificadas'!$A$2:$A$49,"TVN",'Líneas codificadas'!$B$2:$B$49,"FY2024"))</f>
        <v>1</v>
      </c>
      <c r="D24" s="9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codificadas'!$B$2:$B$49,"FY2025")/SUMIFS('Líneas codificadas'!$E$2:$E$49,'Líneas codificadas'!$A$2:$A$49,"TVN",'Líneas codificadas'!$B$2:$B$49,"FY2025"))</f>
        <v>1</v>
      </c>
      <c r="E24" s="9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2025")/SUMIFS('Líneas codificadas'!$E$2:$E$49,'Líneas codificadas'!$A$2:$A$49,"TVN",'Líneas codificadas'!$B$2:$B$49,"H1 2025"))</f>
        <v>1</v>
      </c>
      <c r="F24" s="9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2026")/SUMIFS('Líneas codificadas'!$E$2:$E$49,'Líneas codificadas'!$A$2:$A$49,"TVN",'Líneas codificadas'!$B$2:$B$49,"H1 2026"))</f>
        <v>1</v>
      </c>
    </row>
    <row r="25" customFormat="false" ht="15" hidden="false" customHeight="false" outlineLevel="0" collapsed="false">
      <c r="A25" s="3" t="s">
        <v>13</v>
      </c>
      <c r="B25" s="5" t="s">
        <v>10</v>
      </c>
      <c r="C25" s="6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codificadas'!$O$2:$O$49,"Publicidad")/SUMIFS('Líneas codificadas'!$E$2:$E$49,'Líneas codificadas'!$A$2:$A$49,"Canal 13",'Líneas codificadas'!$B$2:$B$49,"FY2024"))</f>
        <v>0.759657970584799</v>
      </c>
      <c r="D25" s="6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codificadas'!$O$2:$O$49,"Publicidad")/SUMIFS('Líneas codificadas'!$E$2:$E$49,'Líneas codificadas'!$A$2:$A$49,"Canal 13",'Líneas codificadas'!$B$2:$B$49,"FY2025"))</f>
        <v>0.767246109247676</v>
      </c>
      <c r="E25" s="6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codificadas'!$O$2:$O$49,"Publicidad")/SUMIFS('Líneas codificadas'!$E$2:$E$49,'Líneas codificadas'!$A$2:$A$49,"Canal 13",'Líneas codificadas'!$B$2:$B$49,"H1 2025"))</f>
        <v>0.756881876309673</v>
      </c>
      <c r="F25" s="6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codificadas'!$O$2:$O$49,"Publicidad")/SUMIFS('Líneas codificadas'!$E$2:$E$49,'Líneas codificadas'!$A$2:$A$49,"Canal 13",'Líneas codificadas'!$B$2:$B$49,"H1 2026"))</f>
        <v>0.708701785682516</v>
      </c>
    </row>
    <row r="26" customFormat="false" ht="15" hidden="false" customHeight="false" outlineLevel="0" collapsed="false">
      <c r="A26" s="5"/>
      <c r="B26" s="5" t="s">
        <v>17</v>
      </c>
      <c r="C26" s="6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codificadas'!$O$2:$O$49,"Otros ingresos operacionales")/SUMIFS('Líneas codificadas'!$E$2:$E$49,'Líneas codificadas'!$A$2:$A$49,"Canal 13",'Líneas codificadas'!$B$2:$B$49,"FY2024"))</f>
        <v>0.240342029415201</v>
      </c>
      <c r="D26" s="6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codificadas'!$O$2:$O$49,"Otros ingresos operacionales")/SUMIFS('Líneas codificadas'!$E$2:$E$49,'Líneas codificadas'!$A$2:$A$49,"Canal 13",'Líneas codificadas'!$B$2:$B$49,"FY2025"))</f>
        <v>0.232753890752324</v>
      </c>
      <c r="E26" s="6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codificadas'!$O$2:$O$49,"Otros ingresos operacionales")/SUMIFS('Líneas codificadas'!$E$2:$E$49,'Líneas codificadas'!$A$2:$A$49,"Canal 13",'Líneas codificadas'!$B$2:$B$49,"H1 2025"))</f>
        <v>0.243118123690327</v>
      </c>
      <c r="F26" s="6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codificadas'!$O$2:$O$49,"Otros ingresos operacionales")/SUMIFS('Líneas codificadas'!$E$2:$E$49,'Líneas codificadas'!$A$2:$A$49,"Canal 13",'Líneas codificadas'!$B$2:$B$49,"H1 2026"))</f>
        <v>0.291298214317484</v>
      </c>
    </row>
    <row r="27" customFormat="false" ht="15" hidden="false" customHeight="false" outlineLevel="0" collapsed="false">
      <c r="A27" s="5"/>
      <c r="B27" s="5" t="s">
        <v>18</v>
      </c>
      <c r="C27" s="6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codificadas'!$O$2:$O$49,"Transferencias del Estado")/SUMIFS('Líneas codificadas'!$E$2:$E$49,'Líneas codificadas'!$A$2:$A$49,"Canal 13",'Líneas codificadas'!$B$2:$B$49,"FY2024"))</f>
        <v>0</v>
      </c>
      <c r="D27" s="6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codificadas'!$O$2:$O$49,"Transferencias del Estado")/SUMIFS('Líneas codificadas'!$E$2:$E$49,'Líneas codificadas'!$A$2:$A$49,"Canal 13",'Líneas codificadas'!$B$2:$B$49,"FY2025"))</f>
        <v>0</v>
      </c>
      <c r="E27" s="6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codificadas'!$O$2:$O$49,"Transferencias del Estado")/SUMIFS('Líneas codificadas'!$E$2:$E$49,'Líneas codificadas'!$A$2:$A$49,"Canal 13",'Líneas codificadas'!$B$2:$B$49,"H1 2025"))</f>
        <v>0</v>
      </c>
      <c r="F27" s="6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codificadas'!$O$2:$O$49,"Transferencias del Estado")/SUMIFS('Líneas codificadas'!$E$2:$E$49,'Líneas codificadas'!$A$2:$A$49,"Canal 13",'Líneas codificadas'!$B$2:$B$49,"H1 2026"))</f>
        <v>0</v>
      </c>
    </row>
    <row r="28" customFormat="false" ht="15" hidden="false" customHeight="false" outlineLevel="0" collapsed="false">
      <c r="A28" s="7"/>
      <c r="B28" s="8" t="s">
        <v>12</v>
      </c>
      <c r="C28" s="9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codificadas'!$B$2:$B$49,"FY2024")/SUMIFS('Líneas codificadas'!$E$2:$E$49,'Líneas codificadas'!$A$2:$A$49,"Canal 13",'Líneas codificadas'!$B$2:$B$49,"FY2024"))</f>
        <v>1</v>
      </c>
      <c r="D28" s="9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codificadas'!$B$2:$B$49,"FY2025")/SUMIFS('Líneas codificadas'!$E$2:$E$49,'Líneas codificadas'!$A$2:$A$49,"Canal 13",'Líneas codificadas'!$B$2:$B$49,"FY2025"))</f>
        <v>1</v>
      </c>
      <c r="E28" s="9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2025")/SUMIFS('Líneas codificadas'!$E$2:$E$49,'Líneas codificadas'!$A$2:$A$49,"Canal 13",'Líneas codificadas'!$B$2:$B$49,"H1 2025"))</f>
        <v>1</v>
      </c>
      <c r="F28" s="9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2026")/SUMIFS('Líneas codificadas'!$E$2:$E$49,'Líneas codificadas'!$A$2:$A$49,"Canal 13",'Líneas codificadas'!$B$2:$B$49,"H1 2026"))</f>
        <v>1</v>
      </c>
    </row>
    <row r="29" customFormat="false" ht="15" hidden="false" customHeight="false" outlineLevel="0" collapsed="false">
      <c r="A29" s="3" t="s">
        <v>14</v>
      </c>
      <c r="B29" s="5" t="s">
        <v>10</v>
      </c>
      <c r="C29" s="6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codificadas'!$O$2:$O$49,"Publicidad")/SUMIFS('Líneas codificadas'!$E$2:$E$49,'Líneas codificadas'!$A$2:$A$49,"Mega",'Líneas codificadas'!$B$2:$B$49,"FY2024"))</f>
        <v>0.756949259477649</v>
      </c>
      <c r="D29" s="6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codificadas'!$O$2:$O$49,"Publicidad")/SUMIFS('Líneas codificadas'!$E$2:$E$49,'Líneas codificadas'!$A$2:$A$49,"Mega",'Líneas codificadas'!$B$2:$B$49,"FY2025"))</f>
        <v>0.788947467639852</v>
      </c>
      <c r="E29" s="6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codificadas'!$O$2:$O$49,"Publicidad")/SUMIFS('Líneas codificadas'!$E$2:$E$49,'Líneas codificadas'!$A$2:$A$49,"Mega",'Líneas codificadas'!$B$2:$B$49,"H1 2025"))</f>
        <v>0.725853153574839</v>
      </c>
      <c r="F29" s="6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codificadas'!$O$2:$O$49,"Publicidad")/SUMIFS('Líneas codificadas'!$E$2:$E$49,'Líneas codificadas'!$A$2:$A$49,"Mega",'Líneas codificadas'!$B$2:$B$49,"H1 2026"))</f>
        <v>0.820963260900112</v>
      </c>
    </row>
    <row r="30" customFormat="false" ht="15" hidden="false" customHeight="false" outlineLevel="0" collapsed="false">
      <c r="A30" s="5"/>
      <c r="B30" s="5" t="s">
        <v>17</v>
      </c>
      <c r="C30" s="6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codificadas'!$O$2:$O$49,"Otros ingresos operacionales")/SUMIFS('Líneas codificadas'!$E$2:$E$49,'Líneas codificadas'!$A$2:$A$49,"Mega",'Líneas codificadas'!$B$2:$B$49,"FY2024"))</f>
        <v>0.243050740522351</v>
      </c>
      <c r="D30" s="6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codificadas'!$O$2:$O$49,"Otros ingresos operacionales")/SUMIFS('Líneas codificadas'!$E$2:$E$49,'Líneas codificadas'!$A$2:$A$49,"Mega",'Líneas codificadas'!$B$2:$B$49,"FY2025"))</f>
        <v>0.211052532360148</v>
      </c>
      <c r="E30" s="6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codificadas'!$O$2:$O$49,"Otros ingresos operacionales")/SUMIFS('Líneas codificadas'!$E$2:$E$49,'Líneas codificadas'!$A$2:$A$49,"Mega",'Líneas codificadas'!$B$2:$B$49,"H1 2025"))</f>
        <v>0.274146846425161</v>
      </c>
      <c r="F30" s="6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codificadas'!$O$2:$O$49,"Otros ingresos operacionales")/SUMIFS('Líneas codificadas'!$E$2:$E$49,'Líneas codificadas'!$A$2:$A$49,"Mega",'Líneas codificadas'!$B$2:$B$49,"H1 2026"))</f>
        <v>0.179036739099888</v>
      </c>
    </row>
    <row r="31" customFormat="false" ht="15" hidden="false" customHeight="false" outlineLevel="0" collapsed="false">
      <c r="A31" s="5"/>
      <c r="B31" s="5" t="s">
        <v>18</v>
      </c>
      <c r="C31" s="6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codificadas'!$O$2:$O$49,"Transferencias del Estado")/SUMIFS('Líneas codificadas'!$E$2:$E$49,'Líneas codificadas'!$A$2:$A$49,"Mega",'Líneas codificadas'!$B$2:$B$49,"FY2024"))</f>
        <v>0</v>
      </c>
      <c r="D31" s="6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codificadas'!$O$2:$O$49,"Transferencias del Estado")/SUMIFS('Líneas codificadas'!$E$2:$E$49,'Líneas codificadas'!$A$2:$A$49,"Mega",'Líneas codificadas'!$B$2:$B$49,"FY2025"))</f>
        <v>0</v>
      </c>
      <c r="E31" s="6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codificadas'!$O$2:$O$49,"Transferencias del Estado")/SUMIFS('Líneas codificadas'!$E$2:$E$49,'Líneas codificadas'!$A$2:$A$49,"Mega",'Líneas codificadas'!$B$2:$B$49,"H1 2025"))</f>
        <v>0</v>
      </c>
      <c r="F31" s="6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codificadas'!$O$2:$O$49,"Transferencias del Estado")/SUMIFS('Líneas codificadas'!$E$2:$E$49,'Líneas codificadas'!$A$2:$A$49,"Mega",'Líneas codificadas'!$B$2:$B$49,"H1 2026"))</f>
        <v>0</v>
      </c>
    </row>
    <row r="32" customFormat="false" ht="15" hidden="false" customHeight="false" outlineLevel="0" collapsed="false">
      <c r="A32" s="7"/>
      <c r="B32" s="8" t="s">
        <v>12</v>
      </c>
      <c r="C32" s="9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codificadas'!$B$2:$B$49,"FY2024")/SUMIFS('Líneas codificadas'!$E$2:$E$49,'Líneas codificadas'!$A$2:$A$49,"Mega",'Líneas codificadas'!$B$2:$B$49,"FY2024"))</f>
        <v>1</v>
      </c>
      <c r="D32" s="9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codificadas'!$B$2:$B$49,"FY2025")/SUMIFS('Líneas codificadas'!$E$2:$E$49,'Líneas codificadas'!$A$2:$A$49,"Mega",'Líneas codificadas'!$B$2:$B$49,"FY2025"))</f>
        <v>1</v>
      </c>
      <c r="E32" s="9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2025")/SUMIFS('Líneas codificadas'!$E$2:$E$49,'Líneas codificadas'!$A$2:$A$49,"Mega",'Líneas codificadas'!$B$2:$B$49,"H1 2025"))</f>
        <v>1</v>
      </c>
      <c r="F32" s="9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2026")/SUMIFS('Líneas codificadas'!$E$2:$E$49,'Líneas codificadas'!$A$2:$A$49,"Mega",'Líneas codificadas'!$B$2:$B$49,"H1 2026"))</f>
        <v>1</v>
      </c>
    </row>
    <row r="33" customFormat="false" ht="15" hidden="false" customHeight="false" outlineLevel="0" collapsed="false">
      <c r="A33" s="3" t="s">
        <v>15</v>
      </c>
      <c r="B33" s="5" t="s">
        <v>10</v>
      </c>
      <c r="C33" s="6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codificadas'!$O$2:$O$49,"Publicidad")/SUMIFS('Líneas codificadas'!$E$2:$E$49,'Líneas codificadas'!$A$2:$A$49,"Chilevisión",'Líneas codificadas'!$B$2:$B$49,"FY2024"))</f>
        <v>0.910459021762409</v>
      </c>
      <c r="D33" s="6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codificadas'!$O$2:$O$49,"Publicidad")/SUMIFS('Líneas codificadas'!$E$2:$E$49,'Líneas codificadas'!$A$2:$A$49,"Chilevisión",'Líneas codificadas'!$B$2:$B$49,"FY2025"))</f>
        <v>0.896323962891206</v>
      </c>
      <c r="E33" s="6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codificadas'!$O$2:$O$49,"Publicidad")/SUMIFS('Líneas codificadas'!$E$2:$E$49,'Líneas codificadas'!$A$2:$A$49,"Chilevisión",'Líneas codificadas'!$B$2:$B$49,"H1 2025"))</f>
        <v>0.95082265656069</v>
      </c>
      <c r="F33" s="6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codificadas'!$O$2:$O$49,"Publicidad")/SUMIFS('Líneas codificadas'!$E$2:$E$49,'Líneas codificadas'!$A$2:$A$49,"Chilevisión",'Líneas codificadas'!$B$2:$B$49,"H1 2026"))</f>
        <v>0.90898240438524</v>
      </c>
    </row>
    <row r="34" customFormat="false" ht="15" hidden="false" customHeight="false" outlineLevel="0" collapsed="false">
      <c r="A34" s="5"/>
      <c r="B34" s="5" t="s">
        <v>17</v>
      </c>
      <c r="C34" s="6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codificadas'!$O$2:$O$49,"Otros ingresos operacionales")/SUMIFS('Líneas codificadas'!$E$2:$E$49,'Líneas codificadas'!$A$2:$A$49,"Chilevisión",'Líneas codificadas'!$B$2:$B$49,"FY2024"))</f>
        <v>0.0895409782375908</v>
      </c>
      <c r="D34" s="6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codificadas'!$O$2:$O$49,"Otros ingresos operacionales")/SUMIFS('Líneas codificadas'!$E$2:$E$49,'Líneas codificadas'!$A$2:$A$49,"Chilevisión",'Líneas codificadas'!$B$2:$B$49,"FY2025"))</f>
        <v>0.103676037108794</v>
      </c>
      <c r="E34" s="6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codificadas'!$O$2:$O$49,"Otros ingresos operacionales")/SUMIFS('Líneas codificadas'!$E$2:$E$49,'Líneas codificadas'!$A$2:$A$49,"Chilevisión",'Líneas codificadas'!$B$2:$B$49,"H1 2025"))</f>
        <v>0.0491773434393101</v>
      </c>
      <c r="F34" s="6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codificadas'!$O$2:$O$49,"Otros ingresos operacionales")/SUMIFS('Líneas codificadas'!$E$2:$E$49,'Líneas codificadas'!$A$2:$A$49,"Chilevisión",'Líneas codificadas'!$B$2:$B$49,"H1 2026"))</f>
        <v>0.0910175956147599</v>
      </c>
    </row>
    <row r="35" customFormat="false" ht="15" hidden="false" customHeight="false" outlineLevel="0" collapsed="false">
      <c r="A35" s="5"/>
      <c r="B35" s="5" t="s">
        <v>18</v>
      </c>
      <c r="C35" s="6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codificadas'!$O$2:$O$49,"Transferencias del Estado")/SUMIFS('Líneas codificadas'!$E$2:$E$49,'Líneas codificadas'!$A$2:$A$49,"Chilevisión",'Líneas codificadas'!$B$2:$B$49,"FY2024"))</f>
        <v>0</v>
      </c>
      <c r="D35" s="6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codificadas'!$O$2:$O$49,"Transferencias del Estado")/SUMIFS('Líneas codificadas'!$E$2:$E$49,'Líneas codificadas'!$A$2:$A$49,"Chilevisión",'Líneas codificadas'!$B$2:$B$49,"FY2025"))</f>
        <v>0</v>
      </c>
      <c r="E35" s="6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codificadas'!$O$2:$O$49,"Transferencias del Estado")/SUMIFS('Líneas codificadas'!$E$2:$E$49,'Líneas codificadas'!$A$2:$A$49,"Chilevisión",'Líneas codificadas'!$B$2:$B$49,"H1 2025"))</f>
        <v>0</v>
      </c>
      <c r="F35" s="6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codificadas'!$O$2:$O$49,"Transferencias del Estado")/SUMIFS('Líneas codificadas'!$E$2:$E$49,'Líneas codificadas'!$A$2:$A$49,"Chilevisión",'Líneas codificadas'!$B$2:$B$49,"H1 2026"))</f>
        <v>0</v>
      </c>
    </row>
    <row r="36" customFormat="false" ht="15" hidden="false" customHeight="false" outlineLevel="0" collapsed="false">
      <c r="A36" s="7"/>
      <c r="B36" s="8" t="s">
        <v>12</v>
      </c>
      <c r="C36" s="9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codificadas'!$B$2:$B$49,"FY2024")/SUMIFS('Líneas codificadas'!$E$2:$E$49,'Líneas codificadas'!$A$2:$A$49,"Chilevisión",'Líneas codificadas'!$B$2:$B$49,"FY2024"))</f>
        <v>1</v>
      </c>
      <c r="D36" s="9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codificadas'!$B$2:$B$49,"FY2025")/SUMIFS('Líneas codificadas'!$E$2:$E$49,'Líneas codificadas'!$A$2:$A$49,"Chilevisión",'Líneas codificadas'!$B$2:$B$49,"FY2025"))</f>
        <v>1</v>
      </c>
      <c r="E36" s="9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2025")/SUMIFS('Líneas codificadas'!$E$2:$E$49,'Líneas codificadas'!$A$2:$A$49,"Chilevisión",'Líneas codificadas'!$B$2:$B$49,"H1 2025"))</f>
        <v>1</v>
      </c>
      <c r="F36" s="9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2026")/SUMIFS('Líneas codificadas'!$E$2:$E$49,'Líneas codificadas'!$A$2:$A$49,"Chilevisión",'Líneas codificadas'!$B$2:$B$49,"H1 2026"))</f>
        <v>1</v>
      </c>
    </row>
    <row r="38" customFormat="false" ht="15" hidden="false" customHeight="false" outlineLevel="0" collapsed="false">
      <c r="A38" s="3" t="s">
        <v>19</v>
      </c>
    </row>
    <row r="39" customFormat="false" ht="15" hidden="false" customHeight="false" outlineLevel="0" collapsed="false">
      <c r="A39" s="4" t="s">
        <v>3</v>
      </c>
      <c r="B39" s="4" t="s">
        <v>4</v>
      </c>
      <c r="C39" s="4" t="s">
        <v>5</v>
      </c>
      <c r="D39" s="4" t="s">
        <v>6</v>
      </c>
      <c r="E39" s="4" t="s">
        <v>7</v>
      </c>
      <c r="F39" s="4" t="s">
        <v>8</v>
      </c>
    </row>
    <row r="40" customFormat="false" ht="15" hidden="false" customHeight="false" outlineLevel="0" collapsed="false">
      <c r="A40" s="3" t="s">
        <v>9</v>
      </c>
      <c r="B40" s="5" t="s">
        <v>10</v>
      </c>
      <c r="C40" s="10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codificadas'!$O$2:$O$49,"Publicidad"))</f>
        <v>29763217</v>
      </c>
      <c r="D40" s="10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codificadas'!$O$2:$O$49,"Publicidad"))</f>
        <v>28787675</v>
      </c>
      <c r="E40" s="10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codificadas'!$O$2:$O$49,"Publicidad"))</f>
        <v>14095458</v>
      </c>
      <c r="F40" s="10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codificadas'!$O$2:$O$49,"Publicidad"))</f>
        <v>12596474</v>
      </c>
    </row>
    <row r="41" customFormat="false" ht="15" hidden="false" customHeight="false" outlineLevel="0" collapsed="false">
      <c r="A41" s="5"/>
      <c r="B41" s="5" t="s">
        <v>17</v>
      </c>
      <c r="C41" s="10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codificadas'!$O$2:$O$49,"Otros ingresos operacionales"))</f>
        <v>17086817</v>
      </c>
      <c r="D41" s="10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codificadas'!$O$2:$O$49,"Otros ingresos operacionales"))</f>
        <v>17127723</v>
      </c>
      <c r="E41" s="10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codificadas'!$O$2:$O$49,"Otros ingresos operacionales"))</f>
        <v>8141775</v>
      </c>
      <c r="F41" s="10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codificadas'!$O$2:$O$49,"Otros ingresos operacionales"))</f>
        <v>7990951</v>
      </c>
    </row>
    <row r="42" customFormat="false" ht="15" hidden="false" customHeight="false" outlineLevel="0" collapsed="false">
      <c r="A42" s="5"/>
      <c r="B42" s="5" t="s">
        <v>18</v>
      </c>
      <c r="C42" s="10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codificadas'!$B$2:$B$49,"FY2024",'Líneas codificadas'!$O$2:$O$49,"Transferencias del Estado"))</f>
        <v>0</v>
      </c>
      <c r="D42" s="10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codificadas'!$B$2:$B$49,"FY2025",'Líneas codificadas'!$O$2:$O$49,"Transferencias del Estado"))</f>
        <v>2000000</v>
      </c>
      <c r="E42" s="10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2025",'Líneas codificadas'!$O$2:$O$49,"Transferencias del Estado"))</f>
        <v>2000000</v>
      </c>
      <c r="F42" s="10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2026",'Líneas codificadas'!$O$2:$O$49,"Transferencias del Estado"))</f>
        <v>1703714</v>
      </c>
    </row>
    <row r="43" customFormat="false" ht="15" hidden="false" customHeight="false" outlineLevel="0" collapsed="false">
      <c r="A43" s="7"/>
      <c r="B43" s="8" t="s">
        <v>12</v>
      </c>
      <c r="C43" s="11" t="n">
        <f aca="false">IF(SUMIFS('Líneas codificadas'!$E$2:$E$49,'Líneas codificadas'!$A$2:$A$49,"TVN",'Líneas codificadas'!$B$2:$B$49,"FY2024")=0,"n.d.",SUMIFS('Líneas codificadas'!$E$2:$E$49,'Líneas codificadas'!$A$2:$A$49,"TVN",'Líneas codificadas'!$B$2:$B$49,"FY2024"))</f>
        <v>46850034</v>
      </c>
      <c r="D43" s="11" t="n">
        <f aca="false">IF(SUMIFS('Líneas codificadas'!$E$2:$E$49,'Líneas codificadas'!$A$2:$A$49,"TVN",'Líneas codificadas'!$B$2:$B$49,"FY2025")=0,"n.d.",SUMIFS('Líneas codificadas'!$E$2:$E$49,'Líneas codificadas'!$A$2:$A$49,"TVN",'Líneas codificadas'!$B$2:$B$49,"FY2025"))</f>
        <v>47915398</v>
      </c>
      <c r="E43" s="11" t="n">
        <f aca="false">IF(SUMIFS('Líneas codificadas'!$E$2:$E$49,'Líneas codificadas'!$A$2:$A$49,"TVN",'Líneas codificadas'!$B$2:$B$49,"H1 2025")=0,"n.d.",SUMIFS('Líneas codificadas'!$E$2:$E$49,'Líneas codificadas'!$A$2:$A$49,"TVN",'Líneas codificadas'!$B$2:$B$49,"H1 2025"))</f>
        <v>24237233</v>
      </c>
      <c r="F43" s="11" t="n">
        <f aca="false">IF(SUMIFS('Líneas codificadas'!$E$2:$E$49,'Líneas codificadas'!$A$2:$A$49,"TVN",'Líneas codificadas'!$B$2:$B$49,"H1 2026")=0,"n.d.",SUMIFS('Líneas codificadas'!$E$2:$E$49,'Líneas codificadas'!$A$2:$A$49,"TVN",'Líneas codificadas'!$B$2:$B$49,"H1 2026"))</f>
        <v>22291139</v>
      </c>
    </row>
    <row r="44" customFormat="false" ht="15" hidden="false" customHeight="false" outlineLevel="0" collapsed="false">
      <c r="A44" s="3" t="s">
        <v>13</v>
      </c>
      <c r="B44" s="5" t="s">
        <v>10</v>
      </c>
      <c r="C44" s="10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codificadas'!$O$2:$O$49,"Publicidad"))</f>
        <v>59944830</v>
      </c>
      <c r="D44" s="10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codificadas'!$O$2:$O$49,"Publicidad"))</f>
        <v>62568555</v>
      </c>
      <c r="E44" s="10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codificadas'!$O$2:$O$49,"Publicidad"))</f>
        <v>28128285</v>
      </c>
      <c r="F44" s="10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codificadas'!$O$2:$O$49,"Publicidad"))</f>
        <v>27207041</v>
      </c>
    </row>
    <row r="45" customFormat="false" ht="15" hidden="false" customHeight="false" outlineLevel="0" collapsed="false">
      <c r="A45" s="5"/>
      <c r="B45" s="5" t="s">
        <v>17</v>
      </c>
      <c r="C45" s="10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codificadas'!$O$2:$O$49,"Otros ingresos operacionales"))</f>
        <v>18965459</v>
      </c>
      <c r="D45" s="10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codificadas'!$O$2:$O$49,"Otros ingresos operacionales"))</f>
        <v>18980969</v>
      </c>
      <c r="E45" s="10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codificadas'!$O$2:$O$49,"Otros ingresos operacionales"))</f>
        <v>9035090</v>
      </c>
      <c r="F45" s="10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codificadas'!$O$2:$O$49,"Otros ingresos operacionales"))</f>
        <v>11182930</v>
      </c>
    </row>
    <row r="46" customFormat="false" ht="15" hidden="false" customHeight="false" outlineLevel="0" collapsed="false">
      <c r="A46" s="5"/>
      <c r="B46" s="5" t="s">
        <v>18</v>
      </c>
      <c r="C46" s="10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codificadas'!$B$2:$B$49,"FY2024",'Líneas codificadas'!$O$2:$O$49,"Transferencias del Estado"))</f>
        <v>0</v>
      </c>
      <c r="D46" s="10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codificadas'!$B$2:$B$49,"FY2025",'Líneas codificadas'!$O$2:$O$49,"Transferencias del Estado"))</f>
        <v>0</v>
      </c>
      <c r="E46" s="10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2025",'Líneas codificadas'!$O$2:$O$49,"Transferencias del Estado"))</f>
        <v>0</v>
      </c>
      <c r="F46" s="10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2026",'Líneas codificadas'!$O$2:$O$49,"Transferencias del Estado"))</f>
        <v>0</v>
      </c>
    </row>
    <row r="47" customFormat="false" ht="15" hidden="false" customHeight="false" outlineLevel="0" collapsed="false">
      <c r="A47" s="7"/>
      <c r="B47" s="8" t="s">
        <v>12</v>
      </c>
      <c r="C47" s="11" t="n">
        <f aca="false">IF(SUMIFS('Líneas codificadas'!$E$2:$E$49,'Líneas codificadas'!$A$2:$A$49,"Canal 13",'Líneas codificadas'!$B$2:$B$49,"FY2024")=0,"n.d.",SUMIFS('Líneas codificadas'!$E$2:$E$49,'Líneas codificadas'!$A$2:$A$49,"Canal 13",'Líneas codificadas'!$B$2:$B$49,"FY2024"))</f>
        <v>78910289</v>
      </c>
      <c r="D47" s="11" t="n">
        <f aca="false">IF(SUMIFS('Líneas codificadas'!$E$2:$E$49,'Líneas codificadas'!$A$2:$A$49,"Canal 13",'Líneas codificadas'!$B$2:$B$49,"FY2025")=0,"n.d.",SUMIFS('Líneas codificadas'!$E$2:$E$49,'Líneas codificadas'!$A$2:$A$49,"Canal 13",'Líneas codificadas'!$B$2:$B$49,"FY2025"))</f>
        <v>81549524</v>
      </c>
      <c r="E47" s="11" t="n">
        <f aca="false">IF(SUMIFS('Líneas codificadas'!$E$2:$E$49,'Líneas codificadas'!$A$2:$A$49,"Canal 13",'Líneas codificadas'!$B$2:$B$49,"H1 2025")=0,"n.d.",SUMIFS('Líneas codificadas'!$E$2:$E$49,'Líneas codificadas'!$A$2:$A$49,"Canal 13",'Líneas codificadas'!$B$2:$B$49,"H1 2025"))</f>
        <v>37163375</v>
      </c>
      <c r="F47" s="11" t="n">
        <f aca="false">IF(SUMIFS('Líneas codificadas'!$E$2:$E$49,'Líneas codificadas'!$A$2:$A$49,"Canal 13",'Líneas codificadas'!$B$2:$B$49,"H1 2026")=0,"n.d.",SUMIFS('Líneas codificadas'!$E$2:$E$49,'Líneas codificadas'!$A$2:$A$49,"Canal 13",'Líneas codificadas'!$B$2:$B$49,"H1 2026"))</f>
        <v>38389971</v>
      </c>
    </row>
    <row r="48" customFormat="false" ht="15" hidden="false" customHeight="false" outlineLevel="0" collapsed="false">
      <c r="A48" s="3" t="s">
        <v>14</v>
      </c>
      <c r="B48" s="5" t="s">
        <v>10</v>
      </c>
      <c r="C48" s="10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codificadas'!$O$2:$O$49,"Publicidad"))</f>
        <v>77905105</v>
      </c>
      <c r="D48" s="10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codificadas'!$O$2:$O$49,"Publicidad"))</f>
        <v>82713303</v>
      </c>
      <c r="E48" s="10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codificadas'!$O$2:$O$49,"Publicidad"))</f>
        <v>39594862</v>
      </c>
      <c r="F48" s="10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codificadas'!$O$2:$O$49,"Publicidad"))</f>
        <v>46331037</v>
      </c>
    </row>
    <row r="49" customFormat="false" ht="15" hidden="false" customHeight="false" outlineLevel="0" collapsed="false">
      <c r="A49" s="5"/>
      <c r="B49" s="5" t="s">
        <v>17</v>
      </c>
      <c r="C49" s="10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codificadas'!$O$2:$O$49,"Otros ingresos operacionales"))</f>
        <v>25014746</v>
      </c>
      <c r="D49" s="10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codificadas'!$O$2:$O$49,"Otros ingresos operacionales"))</f>
        <v>22126761</v>
      </c>
      <c r="E49" s="10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codificadas'!$O$2:$O$49,"Otros ingresos operacionales"))</f>
        <v>14954549</v>
      </c>
      <c r="F49" s="10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codificadas'!$O$2:$O$49,"Otros ingresos operacionales"))</f>
        <v>10103933</v>
      </c>
    </row>
    <row r="50" customFormat="false" ht="15" hidden="false" customHeight="false" outlineLevel="0" collapsed="false">
      <c r="A50" s="5"/>
      <c r="B50" s="5" t="s">
        <v>18</v>
      </c>
      <c r="C50" s="10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codificadas'!$B$2:$B$49,"FY2024",'Líneas codificadas'!$O$2:$O$49,"Transferencias del Estado"))</f>
        <v>0</v>
      </c>
      <c r="D50" s="10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codificadas'!$B$2:$B$49,"FY2025",'Líneas codificadas'!$O$2:$O$49,"Transferencias del Estado"))</f>
        <v>0</v>
      </c>
      <c r="E50" s="10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2025",'Líneas codificadas'!$O$2:$O$49,"Transferencias del Estado"))</f>
        <v>0</v>
      </c>
      <c r="F50" s="10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2026",'Líneas codificadas'!$O$2:$O$49,"Transferencias del Estado"))</f>
        <v>0</v>
      </c>
    </row>
    <row r="51" customFormat="false" ht="15" hidden="false" customHeight="false" outlineLevel="0" collapsed="false">
      <c r="A51" s="7"/>
      <c r="B51" s="8" t="s">
        <v>12</v>
      </c>
      <c r="C51" s="11" t="n">
        <f aca="false">IF(SUMIFS('Líneas codificadas'!$E$2:$E$49,'Líneas codificadas'!$A$2:$A$49,"Mega",'Líneas codificadas'!$B$2:$B$49,"FY2024")=0,"n.d.",SUMIFS('Líneas codificadas'!$E$2:$E$49,'Líneas codificadas'!$A$2:$A$49,"Mega",'Líneas codificadas'!$B$2:$B$49,"FY2024"))</f>
        <v>102919851</v>
      </c>
      <c r="D51" s="11" t="n">
        <f aca="false">IF(SUMIFS('Líneas codificadas'!$E$2:$E$49,'Líneas codificadas'!$A$2:$A$49,"Mega",'Líneas codificadas'!$B$2:$B$49,"FY2025")=0,"n.d.",SUMIFS('Líneas codificadas'!$E$2:$E$49,'Líneas codificadas'!$A$2:$A$49,"Mega",'Líneas codificadas'!$B$2:$B$49,"FY2025"))</f>
        <v>104840064</v>
      </c>
      <c r="E51" s="11" t="n">
        <f aca="false">IF(SUMIFS('Líneas codificadas'!$E$2:$E$49,'Líneas codificadas'!$A$2:$A$49,"Mega",'Líneas codificadas'!$B$2:$B$49,"H1 2025")=0,"n.d.",SUMIFS('Líneas codificadas'!$E$2:$E$49,'Líneas codificadas'!$A$2:$A$49,"Mega",'Líneas codificadas'!$B$2:$B$49,"H1 2025"))</f>
        <v>54549411</v>
      </c>
      <c r="F51" s="11" t="n">
        <f aca="false">IF(SUMIFS('Líneas codificadas'!$E$2:$E$49,'Líneas codificadas'!$A$2:$A$49,"Mega",'Líneas codificadas'!$B$2:$B$49,"H1 2026")=0,"n.d.",SUMIFS('Líneas codificadas'!$E$2:$E$49,'Líneas codificadas'!$A$2:$A$49,"Mega",'Líneas codificadas'!$B$2:$B$49,"H1 2026"))</f>
        <v>56434970</v>
      </c>
    </row>
    <row r="52" customFormat="false" ht="15" hidden="false" customHeight="false" outlineLevel="0" collapsed="false">
      <c r="A52" s="3" t="s">
        <v>15</v>
      </c>
      <c r="B52" s="5" t="s">
        <v>10</v>
      </c>
      <c r="C52" s="10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codificadas'!$O$2:$O$49,"Publicidad"))</f>
        <v>66752603</v>
      </c>
      <c r="D52" s="10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codificadas'!$O$2:$O$49,"Publicidad"))</f>
        <v>64981856</v>
      </c>
      <c r="E52" s="10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codificadas'!$O$2:$O$49,"Publicidad"))</f>
        <v>33494199</v>
      </c>
      <c r="F52" s="10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codificadas'!$O$2:$O$49,"Publicidad"))</f>
        <v>32933666</v>
      </c>
    </row>
    <row r="53" customFormat="false" ht="15" hidden="false" customHeight="false" outlineLevel="0" collapsed="false">
      <c r="A53" s="5"/>
      <c r="B53" s="5" t="s">
        <v>17</v>
      </c>
      <c r="C53" s="10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codificadas'!$O$2:$O$49,"Otros ingresos operacionales"))</f>
        <v>6564923</v>
      </c>
      <c r="D53" s="10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codificadas'!$O$2:$O$49,"Otros ingresos operacionales"))</f>
        <v>7516324</v>
      </c>
      <c r="E53" s="10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codificadas'!$O$2:$O$49,"Otros ingresos operacionales"))</f>
        <v>1732348</v>
      </c>
      <c r="F53" s="10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codificadas'!$O$2:$O$49,"Otros ingresos operacionales"))</f>
        <v>3297691</v>
      </c>
    </row>
    <row r="54" customFormat="false" ht="15" hidden="false" customHeight="false" outlineLevel="0" collapsed="false">
      <c r="A54" s="5"/>
      <c r="B54" s="5" t="s">
        <v>18</v>
      </c>
      <c r="C54" s="10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codificadas'!$B$2:$B$49,"FY2024",'Líneas codificadas'!$O$2:$O$49,"Transferencias del Estado"))</f>
        <v>0</v>
      </c>
      <c r="D54" s="10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codificadas'!$B$2:$B$49,"FY2025",'Líneas codificadas'!$O$2:$O$49,"Transferencias del Estado"))</f>
        <v>0</v>
      </c>
      <c r="E54" s="10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2025",'Líneas codificadas'!$O$2:$O$49,"Transferencias del Estado"))</f>
        <v>0</v>
      </c>
      <c r="F54" s="10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2026",'Líneas codificadas'!$O$2:$O$49,"Transferencias del Estado"))</f>
        <v>0</v>
      </c>
    </row>
    <row r="55" customFormat="false" ht="15" hidden="false" customHeight="false" outlineLevel="0" collapsed="false">
      <c r="A55" s="7"/>
      <c r="B55" s="8" t="s">
        <v>12</v>
      </c>
      <c r="C55" s="11" t="n">
        <f aca="false">IF(SUMIFS('Líneas codificadas'!$E$2:$E$49,'Líneas codificadas'!$A$2:$A$49,"Chilevisión",'Líneas codificadas'!$B$2:$B$49,"FY2024")=0,"n.d.",SUMIFS('Líneas codificadas'!$E$2:$E$49,'Líneas codificadas'!$A$2:$A$49,"Chilevisión",'Líneas codificadas'!$B$2:$B$49,"FY2024"))</f>
        <v>73317526</v>
      </c>
      <c r="D55" s="11" t="n">
        <f aca="false">IF(SUMIFS('Líneas codificadas'!$E$2:$E$49,'Líneas codificadas'!$A$2:$A$49,"Chilevisión",'Líneas codificadas'!$B$2:$B$49,"FY2025")=0,"n.d.",SUMIFS('Líneas codificadas'!$E$2:$E$49,'Líneas codificadas'!$A$2:$A$49,"Chilevisión",'Líneas codificadas'!$B$2:$B$49,"FY2025"))</f>
        <v>72498180</v>
      </c>
      <c r="E55" s="11" t="n">
        <f aca="false">IF(SUMIFS('Líneas codificadas'!$E$2:$E$49,'Líneas codificadas'!$A$2:$A$49,"Chilevisión",'Líneas codificadas'!$B$2:$B$49,"H1 2025")=0,"n.d.",SUMIFS('Líneas codificadas'!$E$2:$E$49,'Líneas codificadas'!$A$2:$A$49,"Chilevisión",'Líneas codificadas'!$B$2:$B$49,"H1 2025"))</f>
        <v>35226547</v>
      </c>
      <c r="F55" s="11" t="n">
        <f aca="false">IF(SUMIFS('Líneas codificadas'!$E$2:$E$49,'Líneas codificadas'!$A$2:$A$49,"Chilevisión",'Líneas codificadas'!$B$2:$B$49,"H1 2026")=0,"n.d.",SUMIFS('Líneas codificadas'!$E$2:$E$49,'Líneas codificadas'!$A$2:$A$49,"Chilevisión",'Líneas codificadas'!$B$2:$B$49,"H1 2026"))</f>
        <v>36231357</v>
      </c>
    </row>
    <row r="57" customFormat="false" ht="15" hidden="false" customHeight="false" outlineLevel="0" collapsed="false">
      <c r="A57" s="12" t="s">
        <v>20</v>
      </c>
    </row>
    <row r="58" customFormat="false" ht="15" hidden="false" customHeight="false" outlineLevel="0" collapsed="false">
      <c r="A58" s="13" t="s">
        <v>21</v>
      </c>
    </row>
    <row r="59" customFormat="false" ht="15" hidden="false" customHeight="false" outlineLevel="0" collapsed="false">
      <c r="A59" s="13" t="s">
        <v>22</v>
      </c>
    </row>
    <row r="60" customFormat="false" ht="15" hidden="false" customHeight="false" outlineLevel="0" collapsed="false">
      <c r="A60" s="13" t="s">
        <v>23</v>
      </c>
    </row>
    <row r="61" customFormat="false" ht="15" hidden="false" customHeight="false" outlineLevel="0" collapsed="false">
      <c r="A61" s="12" t="s">
        <v>24</v>
      </c>
    </row>
    <row r="62" customFormat="false" ht="15" hidden="false" customHeight="false" outlineLevel="0" collapsed="false">
      <c r="A62" s="13" t="s">
        <v>25</v>
      </c>
    </row>
    <row r="63" customFormat="false" ht="15" hidden="false" customHeight="false" outlineLevel="0" collapsed="false">
      <c r="A63" s="13" t="s">
        <v>26</v>
      </c>
    </row>
    <row r="64" customFormat="false" ht="15" hidden="false" customHeight="false" outlineLevel="0" collapsed="false">
      <c r="A64" s="13" t="s">
        <v>27</v>
      </c>
    </row>
    <row r="65" customFormat="false" ht="15" hidden="false" customHeight="false" outlineLevel="0" collapsed="false">
      <c r="A65" s="13" t="s">
        <v>28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7"/>
    <col collapsed="false" customWidth="true" hidden="false" outlineLevel="0" max="6" min="6" style="0" width="75"/>
  </cols>
  <sheetData>
    <row r="1" customFormat="false" ht="16.15" hidden="false" customHeight="false" outlineLevel="0" collapsed="false">
      <c r="A1" s="1" t="s">
        <v>29</v>
      </c>
    </row>
    <row r="2" customFormat="false" ht="30" hidden="false" customHeight="true" outlineLevel="0" collapsed="false">
      <c r="A2" s="2" t="s">
        <v>30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31</v>
      </c>
    </row>
    <row r="5" customFormat="false" ht="15" hidden="false" customHeight="false" outlineLevel="0" collapsed="false">
      <c r="A5" s="4" t="s">
        <v>3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32</v>
      </c>
    </row>
    <row r="6" customFormat="false" ht="15" hidden="false" customHeight="false" outlineLevel="0" collapsed="false">
      <c r="A6" s="5" t="s">
        <v>9</v>
      </c>
      <c r="B6" s="14" t="str">
        <f aca="false">IF(Rangos!N10=Rangos!O10,TEXT(Rangos!N10,"0.0%"),TEXT(Rangos!N10,"0.0%")&amp;" – "&amp;TEXT(Rangos!O10,"0.0%"))</f>
        <v>63.5% – 100.0%</v>
      </c>
      <c r="C6" s="14" t="str">
        <f aca="false">IF(Rangos!N11=Rangos!O11,TEXT(Rangos!N11,"0.0%"),TEXT(Rangos!N11,"0.0%")&amp;" – "&amp;TEXT(Rangos!O11,"0.0%"))</f>
        <v>60.1% – 95.8%</v>
      </c>
      <c r="D6" s="14" t="str">
        <f aca="false">IF(Rangos!N12=Rangos!O12,TEXT(Rangos!N12,"0.0%"),TEXT(Rangos!N12,"0.0%")&amp;" – "&amp;TEXT(Rangos!O12,"0.0%"))</f>
        <v>58.2% – 91.7%</v>
      </c>
      <c r="E6" s="14" t="str">
        <f aca="false">IF(Rangos!N13=Rangos!O13,TEXT(Rangos!N13,"0.0%"),TEXT(Rangos!N13,"0.0%")&amp;" – "&amp;TEXT(Rangos!O13,"0.0%"))</f>
        <v>56.5% – 92.4%</v>
      </c>
      <c r="F6" s="15" t="s">
        <v>33</v>
      </c>
    </row>
    <row r="7" customFormat="false" ht="15" hidden="false" customHeight="false" outlineLevel="0" collapsed="false">
      <c r="A7" s="5" t="s">
        <v>13</v>
      </c>
      <c r="B7" s="14" t="str">
        <f aca="false">IF(Rangos!N2=Rangos!O2,TEXT(Rangos!N2,"0.0%"),TEXT(Rangos!N2,"0.0%")&amp;" – "&amp;TEXT(Rangos!O2,"0.0%"))</f>
        <v>76.0%</v>
      </c>
      <c r="C7" s="14" t="str">
        <f aca="false">IF(Rangos!N3=Rangos!O3,TEXT(Rangos!N3,"0.0%"),TEXT(Rangos!N3,"0.0%")&amp;" – "&amp;TEXT(Rangos!O3,"0.0%"))</f>
        <v>76.7%</v>
      </c>
      <c r="D7" s="14" t="str">
        <f aca="false">IF(Rangos!N4=Rangos!O4,TEXT(Rangos!N4,"0.0%"),TEXT(Rangos!N4,"0.0%")&amp;" – "&amp;TEXT(Rangos!O4,"0.0%"))</f>
        <v>75.7%</v>
      </c>
      <c r="E7" s="14" t="str">
        <f aca="false">IF(Rangos!N5=Rangos!O5,TEXT(Rangos!N5,"0.0%"),TEXT(Rangos!N5,"0.0%")&amp;" – "&amp;TEXT(Rangos!O5,"0.0%"))</f>
        <v>70.9%</v>
      </c>
      <c r="F7" s="15" t="s">
        <v>34</v>
      </c>
    </row>
    <row r="8" customFormat="false" ht="15" hidden="false" customHeight="false" outlineLevel="0" collapsed="false">
      <c r="A8" s="5" t="s">
        <v>14</v>
      </c>
      <c r="B8" s="14" t="str">
        <f aca="false">IF(Rangos!N6=Rangos!O6,TEXT(Rangos!N6,"0.0%"),TEXT(Rangos!N6,"0.0%")&amp;" – "&amp;TEXT(Rangos!O6,"0.0%"))</f>
        <v>75.7%</v>
      </c>
      <c r="C8" s="14" t="str">
        <f aca="false">IF(Rangos!N7=Rangos!O7,TEXT(Rangos!N7,"0.0%"),TEXT(Rangos!N7,"0.0%")&amp;" – "&amp;TEXT(Rangos!O7,"0.0%"))</f>
        <v>78.9%</v>
      </c>
      <c r="D8" s="14" t="str">
        <f aca="false">IF(Rangos!N14=Rangos!O14,TEXT(Rangos!N14,"0.0%"),TEXT(Rangos!N14,"0.0%")&amp;" – "&amp;TEXT(Rangos!O14,"0.0%"))</f>
        <v>72.6%</v>
      </c>
      <c r="E8" s="14" t="str">
        <f aca="false">IF(Rangos!N16=Rangos!O16,TEXT(Rangos!N16,"0.0%"),TEXT(Rangos!N16,"0.0%")&amp;" – "&amp;TEXT(Rangos!O16,"0.0%"))</f>
        <v>82.1%</v>
      </c>
      <c r="F8" s="15" t="s">
        <v>35</v>
      </c>
    </row>
    <row r="9" customFormat="false" ht="15" hidden="false" customHeight="false" outlineLevel="0" collapsed="false">
      <c r="A9" s="5" t="s">
        <v>15</v>
      </c>
      <c r="B9" s="14" t="str">
        <f aca="false">IF(Rangos!N8=Rangos!O8,TEXT(Rangos!N8,"0.0%"),TEXT(Rangos!N8,"0.0%")&amp;" – "&amp;TEXT(Rangos!O8,"0.0%"))</f>
        <v>91.0% – 100.0%</v>
      </c>
      <c r="C9" s="14" t="str">
        <f aca="false">IF(Rangos!N9=Rangos!O9,TEXT(Rangos!N9,"0.0%"),TEXT(Rangos!N9,"0.0%")&amp;" – "&amp;TEXT(Rangos!O9,"0.0%"))</f>
        <v>89.6% – 100.0%</v>
      </c>
      <c r="D9" s="14" t="str">
        <f aca="false">IF(Rangos!N17=Rangos!O17,TEXT(Rangos!N17,"0.0%"),TEXT(Rangos!N17,"0.0%")&amp;" – "&amp;TEXT(Rangos!O17,"0.0%"))</f>
        <v>95.1% – 100.0%</v>
      </c>
      <c r="E9" s="14" t="str">
        <f aca="false">IF(Rangos!N19=Rangos!O19,TEXT(Rangos!N19,"0.0%"),TEXT(Rangos!N19,"0.0%")&amp;" – "&amp;TEXT(Rangos!O19,"0.0%"))</f>
        <v>90.9% – 100.0%</v>
      </c>
      <c r="F9" s="15" t="s">
        <v>36</v>
      </c>
    </row>
    <row r="11" customFormat="false" ht="15" hidden="false" customHeight="false" outlineLevel="0" collapsed="false">
      <c r="A11" s="3" t="s">
        <v>37</v>
      </c>
    </row>
    <row r="12" customFormat="false" ht="15" hidden="false" customHeight="false" outlineLevel="0" collapsed="false">
      <c r="A12" s="4" t="s">
        <v>3</v>
      </c>
      <c r="B12" s="4" t="s">
        <v>5</v>
      </c>
      <c r="C12" s="4" t="s">
        <v>6</v>
      </c>
      <c r="D12" s="4" t="s">
        <v>7</v>
      </c>
      <c r="E12" s="4" t="s">
        <v>8</v>
      </c>
    </row>
    <row r="13" customFormat="false" ht="15" hidden="false" customHeight="false" outlineLevel="0" collapsed="false">
      <c r="A13" s="5" t="s">
        <v>9</v>
      </c>
      <c r="B13" s="14" t="str">
        <f aca="false">IF(Rangos!P10=Rangos!Q10,TEXT(Rangos!P10,"0.0%"),TEXT(Rangos!P10,"0.0%")&amp;" – "&amp;TEXT(Rangos!Q10,"0.0%"))</f>
        <v>0.0% – 36.5%</v>
      </c>
      <c r="C13" s="14" t="str">
        <f aca="false">IF(Rangos!P11=Rangos!Q11,TEXT(Rangos!P11,"0.0%"),TEXT(Rangos!P11,"0.0%")&amp;" – "&amp;TEXT(Rangos!Q11,"0.0%"))</f>
        <v>0.0% – 35.7%</v>
      </c>
      <c r="D13" s="14" t="str">
        <f aca="false">IF(Rangos!P12=Rangos!Q12,TEXT(Rangos!P12,"0.0%"),TEXT(Rangos!P12,"0.0%")&amp;" – "&amp;TEXT(Rangos!Q12,"0.0%"))</f>
        <v>0.0% – 33.6%</v>
      </c>
      <c r="E13" s="14" t="str">
        <f aca="false">IF(Rangos!P13=Rangos!Q13,TEXT(Rangos!P13,"0.0%"),TEXT(Rangos!P13,"0.0%")&amp;" – "&amp;TEXT(Rangos!Q13,"0.0%"))</f>
        <v>0.0% – 35.8%</v>
      </c>
    </row>
    <row r="14" customFormat="false" ht="15" hidden="false" customHeight="false" outlineLevel="0" collapsed="false">
      <c r="A14" s="5" t="s">
        <v>13</v>
      </c>
      <c r="B14" s="14" t="str">
        <f aca="false">IF(Rangos!P2=Rangos!Q2,TEXT(Rangos!P2,"0.0%"),TEXT(Rangos!P2,"0.0%")&amp;" – "&amp;TEXT(Rangos!Q2,"0.0%"))</f>
        <v>0.0% – 24.0%</v>
      </c>
      <c r="C14" s="14" t="str">
        <f aca="false">IF(Rangos!P3=Rangos!Q3,TEXT(Rangos!P3,"0.0%"),TEXT(Rangos!P3,"0.0%")&amp;" – "&amp;TEXT(Rangos!Q3,"0.0%"))</f>
        <v>0.0% – 23.3%</v>
      </c>
      <c r="D14" s="14" t="str">
        <f aca="false">IF(Rangos!P4=Rangos!Q4,TEXT(Rangos!P4,"0.0%"),TEXT(Rangos!P4,"0.0%")&amp;" – "&amp;TEXT(Rangos!Q4,"0.0%"))</f>
        <v>0.0% – 24.3%</v>
      </c>
      <c r="E14" s="14" t="str">
        <f aca="false">IF(Rangos!P5=Rangos!Q5,TEXT(Rangos!P5,"0.0%"),TEXT(Rangos!P5,"0.0%")&amp;" – "&amp;TEXT(Rangos!Q5,"0.0%"))</f>
        <v>0.0% – 29.1%</v>
      </c>
    </row>
    <row r="15" customFormat="false" ht="15" hidden="false" customHeight="false" outlineLevel="0" collapsed="false">
      <c r="A15" s="5" t="s">
        <v>14</v>
      </c>
      <c r="B15" s="14" t="str">
        <f aca="false">IF(Rangos!P6=Rangos!Q6,TEXT(Rangos!P6,"0.0%"),TEXT(Rangos!P6,"0.0%")&amp;" – "&amp;TEXT(Rangos!Q6,"0.0%"))</f>
        <v>24.3%</v>
      </c>
      <c r="C15" s="14" t="str">
        <f aca="false">IF(Rangos!P7=Rangos!Q7,TEXT(Rangos!P7,"0.0%"),TEXT(Rangos!P7,"0.0%")&amp;" – "&amp;TEXT(Rangos!Q7,"0.0%"))</f>
        <v>21.1%</v>
      </c>
      <c r="D15" s="14" t="str">
        <f aca="false">IF(Rangos!P14=Rangos!Q14,TEXT(Rangos!P14,"0.0%"),TEXT(Rangos!P14,"0.0%")&amp;" – "&amp;TEXT(Rangos!Q14,"0.0%"))</f>
        <v>27.4%</v>
      </c>
      <c r="E15" s="14" t="str">
        <f aca="false">IF(Rangos!P16=Rangos!Q16,TEXT(Rangos!P16,"0.0%"),TEXT(Rangos!P16,"0.0%")&amp;" – "&amp;TEXT(Rangos!Q16,"0.0%"))</f>
        <v>17.9%</v>
      </c>
    </row>
    <row r="16" customFormat="false" ht="15" hidden="false" customHeight="false" outlineLevel="0" collapsed="false">
      <c r="A16" s="5" t="s">
        <v>15</v>
      </c>
      <c r="B16" s="14" t="str">
        <f aca="false">IF(Rangos!P8=Rangos!Q8,TEXT(Rangos!P8,"0.0%"),TEXT(Rangos!P8,"0.0%")&amp;" – "&amp;TEXT(Rangos!Q8,"0.0%"))</f>
        <v>0.0% – 9.0%</v>
      </c>
      <c r="C16" s="14" t="str">
        <f aca="false">IF(Rangos!P9=Rangos!Q9,TEXT(Rangos!P9,"0.0%"),TEXT(Rangos!P9,"0.0%")&amp;" – "&amp;TEXT(Rangos!Q9,"0.0%"))</f>
        <v>0.0% – 10.4%</v>
      </c>
      <c r="D16" s="14" t="str">
        <f aca="false">IF(Rangos!P17=Rangos!Q17,TEXT(Rangos!P17,"0.0%"),TEXT(Rangos!P17,"0.0%")&amp;" – "&amp;TEXT(Rangos!Q17,"0.0%"))</f>
        <v>0.0% – 4.9%</v>
      </c>
      <c r="E16" s="14" t="str">
        <f aca="false">IF(Rangos!P19=Rangos!Q19,TEXT(Rangos!P19,"0.0%"),TEXT(Rangos!P19,"0.0%")&amp;" – "&amp;TEXT(Rangos!Q19,"0.0%"))</f>
        <v>0.0% – 9.1%</v>
      </c>
    </row>
    <row r="18" customFormat="false" ht="15" hidden="false" customHeight="false" outlineLevel="0" collapsed="false">
      <c r="A18" s="3" t="s">
        <v>38</v>
      </c>
    </row>
    <row r="19" customFormat="false" ht="15" hidden="false" customHeight="false" outlineLevel="0" collapsed="false">
      <c r="A19" s="4" t="s">
        <v>3</v>
      </c>
      <c r="B19" s="4" t="s">
        <v>5</v>
      </c>
      <c r="C19" s="4" t="s">
        <v>6</v>
      </c>
      <c r="D19" s="4" t="s">
        <v>7</v>
      </c>
      <c r="E19" s="4" t="s">
        <v>8</v>
      </c>
    </row>
    <row r="20" customFormat="false" ht="15" hidden="false" customHeight="false" outlineLevel="0" collapsed="false">
      <c r="A20" s="5" t="s">
        <v>9</v>
      </c>
      <c r="B20" s="14" t="str">
        <f aca="false">IF(Rangos!R10=Rangos!S10,TEXT(Rangos!R10,"0.0%"),TEXT(Rangos!R10,"0.0%")&amp;" – "&amp;TEXT(Rangos!S10,"0.0%"))</f>
        <v>0.0% – 36.5%</v>
      </c>
      <c r="C20" s="14" t="str">
        <f aca="false">IF(Rangos!R11=Rangos!S11,TEXT(Rangos!R11,"0.0%"),TEXT(Rangos!R11,"0.0%")&amp;" – "&amp;TEXT(Rangos!S11,"0.0%"))</f>
        <v>4.2% – 39.9%</v>
      </c>
      <c r="D20" s="14" t="str">
        <f aca="false">IF(Rangos!R12=Rangos!S12,TEXT(Rangos!R12,"0.0%"),TEXT(Rangos!R12,"0.0%")&amp;" – "&amp;TEXT(Rangos!S12,"0.0%"))</f>
        <v>8.3% – 41.8%</v>
      </c>
      <c r="E20" s="14" t="str">
        <f aca="false">IF(Rangos!R13=Rangos!S13,TEXT(Rangos!R13,"0.0%"),TEXT(Rangos!R13,"0.0%")&amp;" – "&amp;TEXT(Rangos!S13,"0.0%"))</f>
        <v>7.6% – 43.5%</v>
      </c>
    </row>
    <row r="21" customFormat="false" ht="15" hidden="false" customHeight="false" outlineLevel="0" collapsed="false">
      <c r="A21" s="5" t="s">
        <v>13</v>
      </c>
      <c r="B21" s="14" t="str">
        <f aca="false">IF(Rangos!R2=Rangos!S2,TEXT(Rangos!R2,"0.0%"),TEXT(Rangos!R2,"0.0%")&amp;" – "&amp;TEXT(Rangos!S2,"0.0%"))</f>
        <v>0.0% – 24.0%</v>
      </c>
      <c r="C21" s="14" t="str">
        <f aca="false">IF(Rangos!R3=Rangos!S3,TEXT(Rangos!R3,"0.0%"),TEXT(Rangos!R3,"0.0%")&amp;" – "&amp;TEXT(Rangos!S3,"0.0%"))</f>
        <v>0.0% – 23.3%</v>
      </c>
      <c r="D21" s="14" t="str">
        <f aca="false">IF(Rangos!R4=Rangos!S4,TEXT(Rangos!R4,"0.0%"),TEXT(Rangos!R4,"0.0%")&amp;" – "&amp;TEXT(Rangos!S4,"0.0%"))</f>
        <v>0.0% – 24.3%</v>
      </c>
      <c r="E21" s="14" t="str">
        <f aca="false">IF(Rangos!R5=Rangos!S5,TEXT(Rangos!R5,"0.0%"),TEXT(Rangos!R5,"0.0%")&amp;" – "&amp;TEXT(Rangos!S5,"0.0%"))</f>
        <v>0.0% – 29.1%</v>
      </c>
    </row>
    <row r="22" customFormat="false" ht="15" hidden="false" customHeight="false" outlineLevel="0" collapsed="false">
      <c r="A22" s="5" t="s">
        <v>14</v>
      </c>
      <c r="B22" s="14" t="str">
        <f aca="false">IF(Rangos!R6=Rangos!S6,TEXT(Rangos!R6,"0.0%"),TEXT(Rangos!R6,"0.0%")&amp;" – "&amp;TEXT(Rangos!S6,"0.0%"))</f>
        <v>0.0%</v>
      </c>
      <c r="C22" s="14" t="str">
        <f aca="false">IF(Rangos!R7=Rangos!S7,TEXT(Rangos!R7,"0.0%"),TEXT(Rangos!R7,"0.0%")&amp;" – "&amp;TEXT(Rangos!S7,"0.0%"))</f>
        <v>0.0%</v>
      </c>
      <c r="D22" s="14" t="str">
        <f aca="false">IF(Rangos!R14=Rangos!S14,TEXT(Rangos!R14,"0.0%"),TEXT(Rangos!R14,"0.0%")&amp;" – "&amp;TEXT(Rangos!S14,"0.0%"))</f>
        <v>0.0%</v>
      </c>
      <c r="E22" s="14" t="str">
        <f aca="false">IF(Rangos!R16=Rangos!S16,TEXT(Rangos!R16,"0.0%"),TEXT(Rangos!R16,"0.0%")&amp;" – "&amp;TEXT(Rangos!S16,"0.0%"))</f>
        <v>0.0%</v>
      </c>
    </row>
    <row r="23" customFormat="false" ht="15" hidden="false" customHeight="false" outlineLevel="0" collapsed="false">
      <c r="A23" s="5" t="s">
        <v>15</v>
      </c>
      <c r="B23" s="14" t="str">
        <f aca="false">IF(Rangos!R8=Rangos!S8,TEXT(Rangos!R8,"0.0%"),TEXT(Rangos!R8,"0.0%")&amp;" – "&amp;TEXT(Rangos!S8,"0.0%"))</f>
        <v>0.0% – 9.0%</v>
      </c>
      <c r="C23" s="14" t="str">
        <f aca="false">IF(Rangos!R9=Rangos!S9,TEXT(Rangos!R9,"0.0%"),TEXT(Rangos!R9,"0.0%")&amp;" – "&amp;TEXT(Rangos!S9,"0.0%"))</f>
        <v>0.0% – 10.4%</v>
      </c>
      <c r="D23" s="14" t="str">
        <f aca="false">IF(Rangos!R17=Rangos!S17,TEXT(Rangos!R17,"0.0%"),TEXT(Rangos!R17,"0.0%")&amp;" – "&amp;TEXT(Rangos!S17,"0.0%"))</f>
        <v>0.0% – 4.9%</v>
      </c>
      <c r="E23" s="14" t="str">
        <f aca="false">IF(Rangos!R19=Rangos!S19,TEXT(Rangos!R19,"0.0%"),TEXT(Rangos!R19,"0.0%")&amp;" – "&amp;TEXT(Rangos!S19,"0.0%"))</f>
        <v>0.0% – 9.1%</v>
      </c>
    </row>
    <row r="25" customFormat="false" ht="15" hidden="false" customHeight="false" outlineLevel="0" collapsed="false">
      <c r="A25" s="3" t="s">
        <v>39</v>
      </c>
    </row>
    <row r="26" customFormat="false" ht="15" hidden="false" customHeight="false" outlineLevel="0" collapsed="false">
      <c r="A26" s="4" t="s">
        <v>3</v>
      </c>
      <c r="B26" s="4" t="s">
        <v>5</v>
      </c>
      <c r="C26" s="4" t="s">
        <v>6</v>
      </c>
      <c r="D26" s="4" t="s">
        <v>7</v>
      </c>
      <c r="E26" s="4" t="s">
        <v>8</v>
      </c>
    </row>
    <row r="27" customFormat="false" ht="15" hidden="false" customHeight="false" outlineLevel="0" collapsed="false">
      <c r="A27" s="5" t="s">
        <v>9</v>
      </c>
      <c r="B27" s="16" t="n">
        <f aca="false">Rangos!W10</f>
        <v>0.63528698826558</v>
      </c>
      <c r="C27" s="16" t="n">
        <f aca="false">Rangos!W11</f>
        <v>0.600802168021228</v>
      </c>
      <c r="D27" s="16" t="n">
        <f aca="false">Rangos!W12</f>
        <v>0.581562177497737</v>
      </c>
      <c r="E27" s="16" t="n">
        <f aca="false">Rangos!W13</f>
        <v>0.565088845392781</v>
      </c>
    </row>
    <row r="28" customFormat="false" ht="15" hidden="false" customHeight="false" outlineLevel="0" collapsed="false">
      <c r="A28" s="5" t="s">
        <v>13</v>
      </c>
      <c r="B28" s="16" t="n">
        <f aca="false">Rangos!W2</f>
        <v>0.759657970584799</v>
      </c>
      <c r="C28" s="16" t="n">
        <f aca="false">Rangos!W3</f>
        <v>0.767246109247676</v>
      </c>
      <c r="D28" s="16" t="n">
        <f aca="false">Rangos!W4</f>
        <v>0.756881876309673</v>
      </c>
      <c r="E28" s="16" t="n">
        <f aca="false">Rangos!W5</f>
        <v>0.708701785682516</v>
      </c>
    </row>
    <row r="29" customFormat="false" ht="15" hidden="false" customHeight="false" outlineLevel="0" collapsed="false">
      <c r="A29" s="5" t="s">
        <v>14</v>
      </c>
      <c r="B29" s="16" t="n">
        <f aca="false">Rangos!W6</f>
        <v>0.737439746716998</v>
      </c>
      <c r="C29" s="16" t="n">
        <f aca="false">Rangos!W7</f>
        <v>0.772548016046707</v>
      </c>
      <c r="D29" s="16" t="n">
        <f aca="false">Rangos!W14</f>
        <v>0.707911588470389</v>
      </c>
      <c r="E29" s="16" t="n">
        <f aca="false">Rangos!W16</f>
        <v>0.806480924789818</v>
      </c>
    </row>
    <row r="30" customFormat="false" ht="15" hidden="false" customHeight="false" outlineLevel="0" collapsed="false">
      <c r="A30" s="5" t="s">
        <v>15</v>
      </c>
      <c r="B30" s="16" t="n">
        <f aca="false">Rangos!W8</f>
        <v>0.910459021762409</v>
      </c>
      <c r="C30" s="16" t="n">
        <f aca="false">Rangos!W9</f>
        <v>0.896323962891206</v>
      </c>
      <c r="D30" s="16" t="n">
        <f aca="false">Rangos!W17</f>
        <v>0.95082265656069</v>
      </c>
      <c r="E30" s="16" t="n">
        <f aca="false">Rangos!W19</f>
        <v>0.90898240438524</v>
      </c>
    </row>
    <row r="32" customFormat="false" ht="15" hidden="false" customHeight="false" outlineLevel="0" collapsed="false">
      <c r="A32" s="13" t="s">
        <v>40</v>
      </c>
    </row>
    <row r="33" customFormat="false" ht="15" hidden="false" customHeight="false" outlineLevel="0" collapsed="false">
      <c r="A33" s="13" t="s">
        <v>41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42</v>
      </c>
    </row>
    <row r="2" customFormat="false" ht="42" hidden="false" customHeight="true" outlineLevel="0" collapsed="false">
      <c r="A2" s="2" t="s">
        <v>43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44</v>
      </c>
    </row>
    <row r="5" customFormat="false" ht="15" hidden="false" customHeight="false" outlineLevel="0" collapsed="false">
      <c r="A5" s="17" t="s">
        <v>3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32</v>
      </c>
    </row>
    <row r="6" customFormat="false" ht="15" hidden="false" customHeight="false" outlineLevel="0" collapsed="false">
      <c r="A6" s="5" t="s">
        <v>9</v>
      </c>
      <c r="B6" s="16" t="n">
        <f aca="false">IF(ISNA(MATCH("TVN|FY2024",Datos!$A$2:$A$19,0)),"n.d.",IF(ISNUMBER(INDEX(Datos!$L$2:$L$19,MATCH("TVN|FY2024",Datos!$A$2:$A$19,0))),INDEX(Datos!$L$2:$L$19,MATCH("TVN|FY2024",Datos!$A$2:$A$19,0)),"n.d."))</f>
        <v>0.63528698826558</v>
      </c>
      <c r="C6" s="16" t="n">
        <f aca="false">IF(ISNA(MATCH("TVN|FY2025",Datos!$A$2:$A$19,0)),"n.d.",IF(ISNUMBER(INDEX(Datos!$L$2:$L$19,MATCH("TVN|FY2025",Datos!$A$2:$A$19,0))),INDEX(Datos!$L$2:$L$19,MATCH("TVN|FY2025",Datos!$A$2:$A$19,0)),"n.d."))</f>
        <v>0.600802168021228</v>
      </c>
      <c r="D6" s="16" t="n">
        <f aca="false">IF(ISNA(MATCH("TVN|H1 2025",Datos!$A$2:$A$19,0)),"n.d.",IF(ISNUMBER(INDEX(Datos!$L$2:$L$19,MATCH("TVN|H1 2025",Datos!$A$2:$A$19,0))),INDEX(Datos!$L$2:$L$19,MATCH("TVN|H1 2025",Datos!$A$2:$A$19,0)),"n.d."))</f>
        <v>0.581562177497737</v>
      </c>
      <c r="E6" s="16" t="n">
        <f aca="false">IF(ISNA(MATCH("TVN|H1 2026",Datos!$A$2:$A$19,0)),"n.d.",IF(ISNUMBER(INDEX(Datos!$L$2:$L$19,MATCH("TVN|H1 2026",Datos!$A$2:$A$19,0))),INDEX(Datos!$L$2:$L$19,MATCH("TVN|H1 2026",Datos!$A$2:$A$19,0)),"n.d."))</f>
        <v>0.565088845392781</v>
      </c>
      <c r="F6" s="15" t="s">
        <v>45</v>
      </c>
    </row>
    <row r="7" customFormat="false" ht="15" hidden="false" customHeight="false" outlineLevel="0" collapsed="false">
      <c r="A7" s="5" t="s">
        <v>13</v>
      </c>
      <c r="B7" s="16" t="n">
        <f aca="false">IF(ISNA(MATCH("Canal 13|FY2024",Datos!$A$2:$A$19,0)),"n.d.",IF(ISNUMBER(INDEX(Datos!$L$2:$L$19,MATCH("Canal 13|FY2024",Datos!$A$2:$A$19,0))),INDEX(Datos!$L$2:$L$19,MATCH("Canal 13|FY2024",Datos!$A$2:$A$19,0)),"n.d."))</f>
        <v>0.759657970584799</v>
      </c>
      <c r="C7" s="16" t="n">
        <f aca="false">IF(ISNA(MATCH("Canal 13|FY2025",Datos!$A$2:$A$19,0)),"n.d.",IF(ISNUMBER(INDEX(Datos!$L$2:$L$19,MATCH("Canal 13|FY2025",Datos!$A$2:$A$19,0))),INDEX(Datos!$L$2:$L$19,MATCH("Canal 13|FY2025",Datos!$A$2:$A$19,0)),"n.d."))</f>
        <v>0.767246109247676</v>
      </c>
      <c r="D7" s="16" t="n">
        <f aca="false">IF(ISNA(MATCH("Canal 13|H1 2025",Datos!$A$2:$A$19,0)),"n.d.",IF(ISNUMBER(INDEX(Datos!$L$2:$L$19,MATCH("Canal 13|H1 2025",Datos!$A$2:$A$19,0))),INDEX(Datos!$L$2:$L$19,MATCH("Canal 13|H1 2025",Datos!$A$2:$A$19,0)),"n.d."))</f>
        <v>0.756881876309673</v>
      </c>
      <c r="E7" s="16" t="n">
        <f aca="false">IF(ISNA(MATCH("Canal 13|H1 2026",Datos!$A$2:$A$19,0)),"n.d.",IF(ISNUMBER(INDEX(Datos!$L$2:$L$19,MATCH("Canal 13|H1 2026",Datos!$A$2:$A$19,0))),INDEX(Datos!$L$2:$L$19,MATCH("Canal 13|H1 2026",Datos!$A$2:$A$19,0)),"n.d."))</f>
        <v>0.708701785682516</v>
      </c>
      <c r="F7" s="15" t="s">
        <v>46</v>
      </c>
    </row>
    <row r="8" customFormat="false" ht="15" hidden="false" customHeight="false" outlineLevel="0" collapsed="false">
      <c r="A8" s="5" t="s">
        <v>14</v>
      </c>
      <c r="B8" s="16" t="n">
        <f aca="false">IF(ISNA(MATCH("Mega|FY2024",Datos!$A$2:$A$19,0)),"n.d.",IF(ISNUMBER(INDEX(Datos!$L$2:$L$19,MATCH("Mega|FY2024",Datos!$A$2:$A$19,0))),INDEX(Datos!$L$2:$L$19,MATCH("Mega|FY2024",Datos!$A$2:$A$19,0)),"n.d."))</f>
        <v>0.756949259477649</v>
      </c>
      <c r="C8" s="16" t="n">
        <f aca="false">IF(ISNA(MATCH("Mega|FY2025",Datos!$A$2:$A$19,0)),"n.d.",IF(ISNUMBER(INDEX(Datos!$L$2:$L$19,MATCH("Mega|FY2025",Datos!$A$2:$A$19,0))),INDEX(Datos!$L$2:$L$19,MATCH("Mega|FY2025",Datos!$A$2:$A$19,0)),"n.d."))</f>
        <v>0.788947467639852</v>
      </c>
      <c r="D8" s="16" t="n">
        <f aca="false">IF(ISNA(MATCH("Mega|H1 2025",Datos!$A$2:$A$19,0)),"n.d.",IF(ISNUMBER(INDEX(Datos!$L$2:$L$19,MATCH("Mega|H1 2025",Datos!$A$2:$A$19,0))),INDEX(Datos!$L$2:$L$19,MATCH("Mega|H1 2025",Datos!$A$2:$A$19,0)),"n.d."))</f>
        <v>0.725853153574839</v>
      </c>
      <c r="E8" s="16" t="n">
        <f aca="false">IF(ISNA(MATCH("Mega|H1 2026",Datos!$A$2:$A$19,0)),"n.d.",IF(ISNUMBER(INDEX(Datos!$L$2:$L$19,MATCH("Mega|H1 2026",Datos!$A$2:$A$19,0))),INDEX(Datos!$L$2:$L$19,MATCH("Mega|H1 2026",Datos!$A$2:$A$19,0)),"n.d."))</f>
        <v>0.820963260900112</v>
      </c>
      <c r="F8" s="15" t="s">
        <v>47</v>
      </c>
    </row>
    <row r="9" customFormat="false" ht="15" hidden="false" customHeight="false" outlineLevel="0" collapsed="false">
      <c r="A9" s="5" t="s">
        <v>15</v>
      </c>
      <c r="B9" s="16" t="n">
        <f aca="false">IF(ISNA(MATCH("Chilevisión|FY2024",Datos!$A$2:$A$19,0)),"n.d.",IF(ISNUMBER(INDEX(Datos!$L$2:$L$19,MATCH("Chilevisión|FY2024",Datos!$A$2:$A$19,0))),INDEX(Datos!$L$2:$L$19,MATCH("Chilevisión|FY2024",Datos!$A$2:$A$19,0)),"n.d."))</f>
        <v>0.910459021762409</v>
      </c>
      <c r="C9" s="16" t="n">
        <f aca="false">IF(ISNA(MATCH("Chilevisión|FY2025",Datos!$A$2:$A$19,0)),"n.d.",IF(ISNUMBER(INDEX(Datos!$L$2:$L$19,MATCH("Chilevisión|FY2025",Datos!$A$2:$A$19,0))),INDEX(Datos!$L$2:$L$19,MATCH("Chilevisión|FY2025",Datos!$A$2:$A$19,0)),"n.d."))</f>
        <v>0.896323962891206</v>
      </c>
      <c r="D9" s="16" t="n">
        <f aca="false">IF(ISNA(MATCH("Chilevisión|H1 2025",Datos!$A$2:$A$19,0)),"n.d.",IF(ISNUMBER(INDEX(Datos!$L$2:$L$19,MATCH("Chilevisión|H1 2025",Datos!$A$2:$A$19,0))),INDEX(Datos!$L$2:$L$19,MATCH("Chilevisión|H1 2025",Datos!$A$2:$A$19,0)),"n.d."))</f>
        <v>0.95082265656069</v>
      </c>
      <c r="E9" s="16" t="n">
        <f aca="false">IF(ISNA(MATCH("Chilevisión|H1 2026",Datos!$A$2:$A$19,0)),"n.d.",IF(ISNUMBER(INDEX(Datos!$L$2:$L$19,MATCH("Chilevisión|H1 2026",Datos!$A$2:$A$19,0))),INDEX(Datos!$L$2:$L$19,MATCH("Chilevisión|H1 2026",Datos!$A$2:$A$19,0)),"n.d."))</f>
        <v>0.90898240438524</v>
      </c>
      <c r="F9" s="15" t="s">
        <v>48</v>
      </c>
    </row>
    <row r="11" customFormat="false" ht="15" hidden="false" customHeight="false" outlineLevel="0" collapsed="false">
      <c r="A11" s="3" t="s">
        <v>49</v>
      </c>
    </row>
    <row r="12" customFormat="false" ht="15" hidden="false" customHeight="false" outlineLevel="0" collapsed="false">
      <c r="A12" s="17" t="s">
        <v>3</v>
      </c>
      <c r="B12" s="17" t="s">
        <v>5</v>
      </c>
      <c r="C12" s="17" t="s">
        <v>6</v>
      </c>
      <c r="D12" s="17" t="s">
        <v>7</v>
      </c>
      <c r="E12" s="17" t="s">
        <v>8</v>
      </c>
      <c r="F12" s="17" t="s">
        <v>32</v>
      </c>
    </row>
    <row r="13" customFormat="false" ht="15" hidden="false" customHeight="false" outlineLevel="0" collapsed="false">
      <c r="A13" s="5" t="s">
        <v>9</v>
      </c>
      <c r="B13" s="16" t="n">
        <f aca="false">IF(ISNA(MATCH("TVN|FY2024",Datos!$A$2:$A$19,0)),"n.d.",IF(ISNUMBER(INDEX(Datos!$M$2:$M$19,MATCH("TVN|FY2024",Datos!$A$2:$A$19,0))),INDEX(Datos!$M$2:$M$19,MATCH("TVN|FY2024",Datos!$A$2:$A$19,0)),"n.d."))</f>
        <v>0.364713011734421</v>
      </c>
      <c r="C13" s="16" t="n">
        <f aca="false">IF(ISNA(MATCH("TVN|FY2025",Datos!$A$2:$A$19,0)),"n.d.",IF(ISNUMBER(INDEX(Datos!$M$2:$M$19,MATCH("TVN|FY2025",Datos!$A$2:$A$19,0))),INDEX(Datos!$M$2:$M$19,MATCH("TVN|FY2025",Datos!$A$2:$A$19,0)),"n.d."))</f>
        <v>0.399197831978772</v>
      </c>
      <c r="D13" s="16" t="n">
        <f aca="false">IF(ISNA(MATCH("TVN|H1 2025",Datos!$A$2:$A$19,0)),"n.d.",IF(ISNUMBER(INDEX(Datos!$M$2:$M$19,MATCH("TVN|H1 2025",Datos!$A$2:$A$19,0))),INDEX(Datos!$M$2:$M$19,MATCH("TVN|H1 2025",Datos!$A$2:$A$19,0)),"n.d."))</f>
        <v>0.418437822502263</v>
      </c>
      <c r="E13" s="16" t="n">
        <f aca="false">IF(ISNA(MATCH("TVN|H1 2026",Datos!$A$2:$A$19,0)),"n.d.",IF(ISNUMBER(INDEX(Datos!$M$2:$M$19,MATCH("TVN|H1 2026",Datos!$A$2:$A$19,0))),INDEX(Datos!$M$2:$M$19,MATCH("TVN|H1 2026",Datos!$A$2:$A$19,0)),"n.d."))</f>
        <v>0.434911154607219</v>
      </c>
    </row>
    <row r="14" customFormat="false" ht="15" hidden="false" customHeight="false" outlineLevel="0" collapsed="false">
      <c r="A14" s="5" t="s">
        <v>13</v>
      </c>
      <c r="B14" s="16" t="n">
        <f aca="false">IF(ISNA(MATCH("Canal 13|FY2024",Datos!$A$2:$A$19,0)),"n.d.",IF(ISNUMBER(INDEX(Datos!$M$2:$M$19,MATCH("Canal 13|FY2024",Datos!$A$2:$A$19,0))),INDEX(Datos!$M$2:$M$19,MATCH("Canal 13|FY2024",Datos!$A$2:$A$19,0)),"n.d."))</f>
        <v>0.240342029415201</v>
      </c>
      <c r="C14" s="16" t="n">
        <f aca="false">IF(ISNA(MATCH("Canal 13|FY2025",Datos!$A$2:$A$19,0)),"n.d.",IF(ISNUMBER(INDEX(Datos!$M$2:$M$19,MATCH("Canal 13|FY2025",Datos!$A$2:$A$19,0))),INDEX(Datos!$M$2:$M$19,MATCH("Canal 13|FY2025",Datos!$A$2:$A$19,0)),"n.d."))</f>
        <v>0.232753890752324</v>
      </c>
      <c r="D14" s="16" t="n">
        <f aca="false">IF(ISNA(MATCH("Canal 13|H1 2025",Datos!$A$2:$A$19,0)),"n.d.",IF(ISNUMBER(INDEX(Datos!$M$2:$M$19,MATCH("Canal 13|H1 2025",Datos!$A$2:$A$19,0))),INDEX(Datos!$M$2:$M$19,MATCH("Canal 13|H1 2025",Datos!$A$2:$A$19,0)),"n.d."))</f>
        <v>0.243118123690327</v>
      </c>
      <c r="E14" s="16" t="n">
        <f aca="false">IF(ISNA(MATCH("Canal 13|H1 2026",Datos!$A$2:$A$19,0)),"n.d.",IF(ISNUMBER(INDEX(Datos!$M$2:$M$19,MATCH("Canal 13|H1 2026",Datos!$A$2:$A$19,0))),INDEX(Datos!$M$2:$M$19,MATCH("Canal 13|H1 2026",Datos!$A$2:$A$19,0)),"n.d."))</f>
        <v>0.291298214317484</v>
      </c>
    </row>
    <row r="15" customFormat="false" ht="15" hidden="false" customHeight="false" outlineLevel="0" collapsed="false">
      <c r="A15" s="5" t="s">
        <v>14</v>
      </c>
      <c r="B15" s="16" t="n">
        <f aca="false">IF(ISNA(MATCH("Mega|FY2024",Datos!$A$2:$A$19,0)),"n.d.",IF(ISNUMBER(INDEX(Datos!$M$2:$M$19,MATCH("Mega|FY2024",Datos!$A$2:$A$19,0))),INDEX(Datos!$M$2:$M$19,MATCH("Mega|FY2024",Datos!$A$2:$A$19,0)),"n.d."))</f>
        <v>0.243050740522351</v>
      </c>
      <c r="C15" s="16" t="n">
        <f aca="false">IF(ISNA(MATCH("Mega|FY2025",Datos!$A$2:$A$19,0)),"n.d.",IF(ISNUMBER(INDEX(Datos!$M$2:$M$19,MATCH("Mega|FY2025",Datos!$A$2:$A$19,0))),INDEX(Datos!$M$2:$M$19,MATCH("Mega|FY2025",Datos!$A$2:$A$19,0)),"n.d."))</f>
        <v>0.211052532360148</v>
      </c>
      <c r="D15" s="16" t="n">
        <f aca="false">IF(ISNA(MATCH("Mega|H1 2025",Datos!$A$2:$A$19,0)),"n.d.",IF(ISNUMBER(INDEX(Datos!$M$2:$M$19,MATCH("Mega|H1 2025",Datos!$A$2:$A$19,0))),INDEX(Datos!$M$2:$M$19,MATCH("Mega|H1 2025",Datos!$A$2:$A$19,0)),"n.d."))</f>
        <v>0.274146846425161</v>
      </c>
      <c r="E15" s="16" t="n">
        <f aca="false">IF(ISNA(MATCH("Mega|H1 2026",Datos!$A$2:$A$19,0)),"n.d.",IF(ISNUMBER(INDEX(Datos!$M$2:$M$19,MATCH("Mega|H1 2026",Datos!$A$2:$A$19,0))),INDEX(Datos!$M$2:$M$19,MATCH("Mega|H1 2026",Datos!$A$2:$A$19,0)),"n.d."))</f>
        <v>0.179036739099888</v>
      </c>
    </row>
    <row r="16" customFormat="false" ht="15" hidden="false" customHeight="false" outlineLevel="0" collapsed="false">
      <c r="A16" s="5" t="s">
        <v>15</v>
      </c>
      <c r="B16" s="16" t="n">
        <f aca="false">IF(ISNA(MATCH("Chilevisión|FY2024",Datos!$A$2:$A$19,0)),"n.d.",IF(ISNUMBER(INDEX(Datos!$M$2:$M$19,MATCH("Chilevisión|FY2024",Datos!$A$2:$A$19,0))),INDEX(Datos!$M$2:$M$19,MATCH("Chilevisión|FY2024",Datos!$A$2:$A$19,0)),"n.d."))</f>
        <v>0.0895409782375909</v>
      </c>
      <c r="C16" s="16" t="n">
        <f aca="false">IF(ISNA(MATCH("Chilevisión|FY2025",Datos!$A$2:$A$19,0)),"n.d.",IF(ISNUMBER(INDEX(Datos!$M$2:$M$19,MATCH("Chilevisión|FY2025",Datos!$A$2:$A$19,0))),INDEX(Datos!$M$2:$M$19,MATCH("Chilevisión|FY2025",Datos!$A$2:$A$19,0)),"n.d."))</f>
        <v>0.103676037108794</v>
      </c>
      <c r="D16" s="16" t="n">
        <f aca="false">IF(ISNA(MATCH("Chilevisión|H1 2025",Datos!$A$2:$A$19,0)),"n.d.",IF(ISNUMBER(INDEX(Datos!$M$2:$M$19,MATCH("Chilevisión|H1 2025",Datos!$A$2:$A$19,0))),INDEX(Datos!$M$2:$M$19,MATCH("Chilevisión|H1 2025",Datos!$A$2:$A$19,0)),"n.d."))</f>
        <v>0.0491773434393101</v>
      </c>
      <c r="E16" s="16" t="n">
        <f aca="false">IF(ISNA(MATCH("Chilevisión|H1 2026",Datos!$A$2:$A$19,0)),"n.d.",IF(ISNUMBER(INDEX(Datos!$M$2:$M$19,MATCH("Chilevisión|H1 2026",Datos!$A$2:$A$19,0))),INDEX(Datos!$M$2:$M$19,MATCH("Chilevisión|H1 2026",Datos!$A$2:$A$19,0)),"n.d."))</f>
        <v>0.0910175956147599</v>
      </c>
    </row>
    <row r="18" customFormat="false" ht="15" hidden="false" customHeight="false" outlineLevel="0" collapsed="false">
      <c r="A18" s="3" t="s">
        <v>50</v>
      </c>
    </row>
    <row r="19" customFormat="false" ht="15" hidden="false" customHeight="false" outlineLevel="0" collapsed="false">
      <c r="A19" s="17" t="s">
        <v>3</v>
      </c>
      <c r="B19" s="17" t="s">
        <v>5</v>
      </c>
      <c r="C19" s="17" t="s">
        <v>6</v>
      </c>
      <c r="D19" s="17" t="s">
        <v>7</v>
      </c>
      <c r="E19" s="17" t="s">
        <v>8</v>
      </c>
      <c r="F19" s="17" t="s">
        <v>32</v>
      </c>
    </row>
    <row r="20" customFormat="false" ht="15" hidden="false" customHeight="false" outlineLevel="0" collapsed="false">
      <c r="A20" s="5" t="s">
        <v>9</v>
      </c>
      <c r="B20" s="16" t="n">
        <f aca="false">IF(ISNA(MATCH("TVN|FY2024",Datos!$A$2:$A$19,0)),"n.d.",IF(ISNUMBER(INDEX(Datos!$N$2:$N$19,MATCH("TVN|FY2024",Datos!$A$2:$A$19,0))),INDEX(Datos!$N$2:$N$19,MATCH("TVN|FY2024",Datos!$A$2:$A$19,0)),"n.d."))</f>
        <v>0.63528698826558</v>
      </c>
      <c r="C20" s="16" t="n">
        <f aca="false">IF(ISNA(MATCH("TVN|FY2025",Datos!$A$2:$A$19,0)),"n.d.",IF(ISNUMBER(INDEX(Datos!$N$2:$N$19,MATCH("TVN|FY2025",Datos!$A$2:$A$19,0))),INDEX(Datos!$N$2:$N$19,MATCH("TVN|FY2025",Datos!$A$2:$A$19,0)),"n.d."))</f>
        <v>0.600802168021228</v>
      </c>
      <c r="D20" s="16" t="n">
        <f aca="false">IF(ISNA(MATCH("TVN|H1 2025",Datos!$A$2:$A$19,0)),"n.d.",IF(ISNUMBER(INDEX(Datos!$N$2:$N$19,MATCH("TVN|H1 2025",Datos!$A$2:$A$19,0))),INDEX(Datos!$N$2:$N$19,MATCH("TVN|H1 2025",Datos!$A$2:$A$19,0)),"n.d."))</f>
        <v>0.581562177497737</v>
      </c>
      <c r="E20" s="16" t="n">
        <f aca="false">IF(ISNA(MATCH("TVN|H1 2026",Datos!$A$2:$A$19,0)),"n.d.",IF(ISNUMBER(INDEX(Datos!$N$2:$N$19,MATCH("TVN|H1 2026",Datos!$A$2:$A$19,0))),INDEX(Datos!$N$2:$N$19,MATCH("TVN|H1 2026",Datos!$A$2:$A$19,0)),"n.d."))</f>
        <v>0.565088845392781</v>
      </c>
    </row>
    <row r="21" customFormat="false" ht="15" hidden="false" customHeight="false" outlineLevel="0" collapsed="false">
      <c r="A21" s="5" t="s">
        <v>13</v>
      </c>
      <c r="B21" s="16" t="n">
        <f aca="false">IF(ISNA(MATCH("Canal 13|FY2024",Datos!$A$2:$A$19,0)),"n.d.",IF(ISNUMBER(INDEX(Datos!$N$2:$N$19,MATCH("Canal 13|FY2024",Datos!$A$2:$A$19,0))),INDEX(Datos!$N$2:$N$19,MATCH("Canal 13|FY2024",Datos!$A$2:$A$19,0)),"n.d."))</f>
        <v>0.72617401008378</v>
      </c>
      <c r="C21" s="16" t="n">
        <f aca="false">IF(ISNA(MATCH("Canal 13|FY2025",Datos!$A$2:$A$19,0)),"n.d.",IF(ISNUMBER(INDEX(Datos!$N$2:$N$19,MATCH("Canal 13|FY2025",Datos!$A$2:$A$19,0))),INDEX(Datos!$N$2:$N$19,MATCH("Canal 13|FY2025",Datos!$A$2:$A$19,0)),"n.d."))</f>
        <v>0.735152408737542</v>
      </c>
      <c r="D21" s="16" t="n">
        <f aca="false">IF(ISNA(MATCH("Canal 13|H1 2025",Datos!$A$2:$A$19,0)),"n.d.",IF(ISNUMBER(INDEX(Datos!$N$2:$N$19,MATCH("Canal 13|H1 2025",Datos!$A$2:$A$19,0))),INDEX(Datos!$N$2:$N$19,MATCH("Canal 13|H1 2025",Datos!$A$2:$A$19,0)),"n.d."))</f>
        <v>0.722730403253203</v>
      </c>
      <c r="E21" s="16" t="n">
        <f aca="false">IF(ISNA(MATCH("Canal 13|H1 2026",Datos!$A$2:$A$19,0)),"n.d.",IF(ISNUMBER(INDEX(Datos!$N$2:$N$19,MATCH("Canal 13|H1 2026",Datos!$A$2:$A$19,0))),INDEX(Datos!$N$2:$N$19,MATCH("Canal 13|H1 2026",Datos!$A$2:$A$19,0)),"n.d."))</f>
        <v>0.681493012849632</v>
      </c>
    </row>
    <row r="22" customFormat="false" ht="15" hidden="false" customHeight="false" outlineLevel="0" collapsed="false">
      <c r="A22" s="5" t="s">
        <v>14</v>
      </c>
      <c r="B22" s="16" t="n">
        <f aca="false">IF(ISNA(MATCH("Mega|FY2024",Datos!$A$2:$A$19,0)),"n.d.",IF(ISNUMBER(INDEX(Datos!$N$2:$N$19,MATCH("Mega|FY2024",Datos!$A$2:$A$19,0))),INDEX(Datos!$N$2:$N$19,MATCH("Mega|FY2024",Datos!$A$2:$A$19,0)),"n.d."))</f>
        <v>0.682644361776233</v>
      </c>
      <c r="C22" s="16" t="n">
        <f aca="false">IF(ISNA(MATCH("Mega|FY2025",Datos!$A$2:$A$19,0)),"n.d.",IF(ISNUMBER(INDEX(Datos!$N$2:$N$19,MATCH("Mega|FY2025",Datos!$A$2:$A$19,0))),INDEX(Datos!$N$2:$N$19,MATCH("Mega|FY2025",Datos!$A$2:$A$19,0)),"n.d."))</f>
        <v>0.716846748586495</v>
      </c>
      <c r="D22" s="16" t="n">
        <f aca="false">IF(ISNA(MATCH("Mega|H1 2025",Datos!$A$2:$A$19,0)),"n.d.",IF(ISNUMBER(INDEX(Datos!$N$2:$N$19,MATCH("Mega|H1 2025",Datos!$A$2:$A$19,0))),INDEX(Datos!$N$2:$N$19,MATCH("Mega|H1 2025",Datos!$A$2:$A$19,0)),"n.d."))</f>
        <v>0.66442803571243</v>
      </c>
      <c r="E22" s="16" t="n">
        <f aca="false">IF(ISNA(MATCH("Mega|H1 2026",Datos!$A$2:$A$19,0)),"n.d.",IF(ISNUMBER(INDEX(Datos!$N$2:$N$19,MATCH("Mega|H1 2026",Datos!$A$2:$A$19,0))),INDEX(Datos!$N$2:$N$19,MATCH("Mega|H1 2026",Datos!$A$2:$A$19,0)),"n.d."))</f>
        <v>0.746126524032883</v>
      </c>
    </row>
    <row r="23" customFormat="false" ht="15" hidden="false" customHeight="false" outlineLevel="0" collapsed="false">
      <c r="A23" s="5" t="s">
        <v>15</v>
      </c>
      <c r="B23" s="16" t="n">
        <f aca="false">IF(ISNA(MATCH("Chilevisión|FY2024",Datos!$A$2:$A$19,0)),"n.d.",IF(ISNUMBER(INDEX(Datos!$N$2:$N$19,MATCH("Chilevisión|FY2024",Datos!$A$2:$A$19,0))),INDEX(Datos!$N$2:$N$19,MATCH("Chilevisión|FY2024",Datos!$A$2:$A$19,0)),"n.d."))</f>
        <v>0.910459021762409</v>
      </c>
      <c r="C23" s="16" t="n">
        <f aca="false">IF(ISNA(MATCH("Chilevisión|FY2025",Datos!$A$2:$A$19,0)),"n.d.",IF(ISNUMBER(INDEX(Datos!$N$2:$N$19,MATCH("Chilevisión|FY2025",Datos!$A$2:$A$19,0))),INDEX(Datos!$N$2:$N$19,MATCH("Chilevisión|FY2025",Datos!$A$2:$A$19,0)),"n.d."))</f>
        <v>0.896323962891206</v>
      </c>
      <c r="D23" s="16" t="n">
        <f aca="false">IF(ISNA(MATCH("Chilevisión|H1 2025",Datos!$A$2:$A$19,0)),"n.d.",IF(ISNUMBER(INDEX(Datos!$N$2:$N$19,MATCH("Chilevisión|H1 2025",Datos!$A$2:$A$19,0))),INDEX(Datos!$N$2:$N$19,MATCH("Chilevisión|H1 2025",Datos!$A$2:$A$19,0)),"n.d."))</f>
        <v>0.95082265656069</v>
      </c>
      <c r="E23" s="16" t="n">
        <f aca="false">IF(ISNA(MATCH("Chilevisión|H1 2026",Datos!$A$2:$A$19,0)),"n.d.",IF(ISNUMBER(INDEX(Datos!$N$2:$N$19,MATCH("Chilevisión|H1 2026",Datos!$A$2:$A$19,0))),INDEX(Datos!$N$2:$N$19,MATCH("Chilevisión|H1 2026",Datos!$A$2:$A$19,0)),"n.d."))</f>
        <v>0.90898240438524</v>
      </c>
    </row>
    <row r="25" customFormat="false" ht="15" hidden="false" customHeight="false" outlineLevel="0" collapsed="false">
      <c r="A25" s="13" t="s">
        <v>41</v>
      </c>
    </row>
    <row r="26" customFormat="false" ht="15" hidden="false" customHeight="false" outlineLevel="0" collapsed="false">
      <c r="A26" s="13" t="s">
        <v>51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42"/>
    <col collapsed="false" customWidth="true" hidden="false" outlineLevel="0" max="16" min="16" style="0" width="70"/>
  </cols>
  <sheetData>
    <row r="1" customFormat="false" ht="45" hidden="false" customHeight="true" outlineLevel="0" collapsed="false">
      <c r="A1" s="18" t="s">
        <v>52</v>
      </c>
      <c r="B1" s="18" t="s">
        <v>3</v>
      </c>
      <c r="C1" s="18" t="s">
        <v>53</v>
      </c>
      <c r="D1" s="18" t="s">
        <v>54</v>
      </c>
      <c r="E1" s="18" t="s">
        <v>55</v>
      </c>
      <c r="F1" s="18" t="s">
        <v>56</v>
      </c>
      <c r="G1" s="18" t="s">
        <v>57</v>
      </c>
      <c r="H1" s="18" t="s">
        <v>58</v>
      </c>
      <c r="I1" s="18" t="s">
        <v>59</v>
      </c>
      <c r="J1" s="18" t="s">
        <v>60</v>
      </c>
      <c r="K1" s="18" t="s">
        <v>61</v>
      </c>
      <c r="L1" s="18" t="s">
        <v>62</v>
      </c>
      <c r="M1" s="18" t="s">
        <v>63</v>
      </c>
      <c r="N1" s="18" t="s">
        <v>64</v>
      </c>
      <c r="O1" s="18" t="s">
        <v>65</v>
      </c>
      <c r="P1" s="18" t="s">
        <v>32</v>
      </c>
    </row>
    <row r="2" customFormat="false" ht="35.05" hidden="false" customHeight="false" outlineLevel="0" collapsed="false">
      <c r="A2" s="19" t="str">
        <f aca="false">B2&amp;"|"&amp;C2</f>
        <v>TVN|FY2024</v>
      </c>
      <c r="B2" s="20" t="s">
        <v>9</v>
      </c>
      <c r="C2" s="20" t="s">
        <v>5</v>
      </c>
      <c r="D2" s="20" t="s">
        <v>66</v>
      </c>
      <c r="E2" s="20" t="s">
        <v>67</v>
      </c>
      <c r="F2" s="21" t="n">
        <v>46850034</v>
      </c>
      <c r="G2" s="21" t="n">
        <v>29763217</v>
      </c>
      <c r="H2" s="19"/>
      <c r="I2" s="19"/>
      <c r="J2" s="22" t="n">
        <f aca="false">IF(G2="","",SUM(G2:I2))</f>
        <v>29763217</v>
      </c>
      <c r="K2" s="22" t="n">
        <f aca="false">IF(J2="","",F2-J2)</f>
        <v>17086817</v>
      </c>
      <c r="L2" s="23" t="n">
        <f aca="false">IF(J2="","",J2/F2)</f>
        <v>0.63528698826558</v>
      </c>
      <c r="M2" s="23" t="n">
        <f aca="false">IF(J2="","",1-L2)</f>
        <v>0.364713011734421</v>
      </c>
      <c r="N2" s="23" t="n">
        <f aca="false">IF(G2="","",G2/F2)</f>
        <v>0.63528698826558</v>
      </c>
      <c r="O2" s="24" t="s">
        <v>68</v>
      </c>
      <c r="P2" s="24" t="s">
        <v>69</v>
      </c>
    </row>
    <row r="3" customFormat="false" ht="35.05" hidden="false" customHeight="false" outlineLevel="0" collapsed="false">
      <c r="A3" s="19" t="str">
        <f aca="false">B3&amp;"|"&amp;C3</f>
        <v>TVN|FY2025</v>
      </c>
      <c r="B3" s="20" t="s">
        <v>9</v>
      </c>
      <c r="C3" s="20" t="s">
        <v>6</v>
      </c>
      <c r="D3" s="20" t="s">
        <v>66</v>
      </c>
      <c r="E3" s="20" t="s">
        <v>67</v>
      </c>
      <c r="F3" s="21" t="n">
        <v>47915398</v>
      </c>
      <c r="G3" s="21" t="n">
        <v>28787675</v>
      </c>
      <c r="H3" s="19"/>
      <c r="I3" s="19"/>
      <c r="J3" s="22" t="n">
        <f aca="false">IF(G3="","",SUM(G3:I3))</f>
        <v>28787675</v>
      </c>
      <c r="K3" s="22" t="n">
        <f aca="false">IF(J3="","",F3-J3)</f>
        <v>19127723</v>
      </c>
      <c r="L3" s="23" t="n">
        <f aca="false">IF(J3="","",J3/F3)</f>
        <v>0.600802168021228</v>
      </c>
      <c r="M3" s="23" t="n">
        <f aca="false">IF(J3="","",1-L3)</f>
        <v>0.399197831978772</v>
      </c>
      <c r="N3" s="23" t="n">
        <f aca="false">IF(G3="","",G3/F3)</f>
        <v>0.600802168021228</v>
      </c>
      <c r="O3" s="24" t="s">
        <v>70</v>
      </c>
      <c r="P3" s="24" t="s">
        <v>71</v>
      </c>
    </row>
    <row r="4" customFormat="false" ht="23.85" hidden="false" customHeight="false" outlineLevel="0" collapsed="false">
      <c r="A4" s="19" t="str">
        <f aca="false">B4&amp;"|"&amp;C4</f>
        <v>TVN|H1 2025</v>
      </c>
      <c r="B4" s="20" t="s">
        <v>9</v>
      </c>
      <c r="C4" s="20" t="s">
        <v>7</v>
      </c>
      <c r="D4" s="20" t="s">
        <v>72</v>
      </c>
      <c r="E4" s="20" t="s">
        <v>67</v>
      </c>
      <c r="F4" s="21" t="n">
        <v>24237233</v>
      </c>
      <c r="G4" s="21" t="n">
        <v>14095458</v>
      </c>
      <c r="H4" s="19"/>
      <c r="I4" s="19"/>
      <c r="J4" s="22" t="n">
        <f aca="false">IF(G4="","",SUM(G4:I4))</f>
        <v>14095458</v>
      </c>
      <c r="K4" s="22" t="n">
        <f aca="false">IF(J4="","",F4-J4)</f>
        <v>10141775</v>
      </c>
      <c r="L4" s="23" t="n">
        <f aca="false">IF(J4="","",J4/F4)</f>
        <v>0.581562177497737</v>
      </c>
      <c r="M4" s="23" t="n">
        <f aca="false">IF(J4="","",1-L4)</f>
        <v>0.418437822502263</v>
      </c>
      <c r="N4" s="23" t="n">
        <f aca="false">IF(G4="","",G4/F4)</f>
        <v>0.581562177497737</v>
      </c>
      <c r="O4" s="24" t="s">
        <v>73</v>
      </c>
      <c r="P4" s="24" t="s">
        <v>74</v>
      </c>
    </row>
    <row r="5" customFormat="false" ht="23.85" hidden="false" customHeight="false" outlineLevel="0" collapsed="false">
      <c r="A5" s="19" t="str">
        <f aca="false">B5&amp;"|"&amp;C5</f>
        <v>TVN|H1 2026</v>
      </c>
      <c r="B5" s="20" t="s">
        <v>9</v>
      </c>
      <c r="C5" s="20" t="s">
        <v>8</v>
      </c>
      <c r="D5" s="20" t="s">
        <v>72</v>
      </c>
      <c r="E5" s="20" t="s">
        <v>67</v>
      </c>
      <c r="F5" s="21" t="n">
        <v>22291139</v>
      </c>
      <c r="G5" s="21" t="n">
        <v>12596474</v>
      </c>
      <c r="H5" s="19"/>
      <c r="I5" s="19"/>
      <c r="J5" s="22" t="n">
        <f aca="false">IF(G5="","",SUM(G5:I5))</f>
        <v>12596474</v>
      </c>
      <c r="K5" s="22" t="n">
        <f aca="false">IF(J5="","",F5-J5)</f>
        <v>9694665</v>
      </c>
      <c r="L5" s="23" t="n">
        <f aca="false">IF(J5="","",J5/F5)</f>
        <v>0.565088845392781</v>
      </c>
      <c r="M5" s="23" t="n">
        <f aca="false">IF(J5="","",1-L5)</f>
        <v>0.434911154607219</v>
      </c>
      <c r="N5" s="23" t="n">
        <f aca="false">IF(G5="","",G5/F5)</f>
        <v>0.565088845392781</v>
      </c>
      <c r="O5" s="24" t="s">
        <v>73</v>
      </c>
      <c r="P5" s="24" t="s">
        <v>75</v>
      </c>
    </row>
    <row r="6" customFormat="false" ht="46.25" hidden="false" customHeight="false" outlineLevel="0" collapsed="false">
      <c r="A6" s="19" t="str">
        <f aca="false">B6&amp;"|"&amp;C6</f>
        <v>Canal 13|FY2024</v>
      </c>
      <c r="B6" s="20" t="s">
        <v>13</v>
      </c>
      <c r="C6" s="20" t="s">
        <v>5</v>
      </c>
      <c r="D6" s="20" t="s">
        <v>66</v>
      </c>
      <c r="E6" s="20" t="s">
        <v>67</v>
      </c>
      <c r="F6" s="21" t="n">
        <v>78910289</v>
      </c>
      <c r="G6" s="21" t="n">
        <v>57302601</v>
      </c>
      <c r="H6" s="21" t="n">
        <v>2642229</v>
      </c>
      <c r="I6" s="21" t="n">
        <v>0</v>
      </c>
      <c r="J6" s="22" t="n">
        <f aca="false">IF(G6="","",SUM(G6:I6))</f>
        <v>59944830</v>
      </c>
      <c r="K6" s="22" t="n">
        <f aca="false">IF(J6="","",F6-J6)</f>
        <v>18965459</v>
      </c>
      <c r="L6" s="23" t="n">
        <f aca="false">IF(J6="","",J6/F6)</f>
        <v>0.759657970584799</v>
      </c>
      <c r="M6" s="23" t="n">
        <f aca="false">IF(J6="","",1-L6)</f>
        <v>0.240342029415201</v>
      </c>
      <c r="N6" s="23" t="n">
        <f aca="false">IF(G6="","",G6/F6)</f>
        <v>0.72617401008378</v>
      </c>
      <c r="O6" s="24" t="s">
        <v>76</v>
      </c>
      <c r="P6" s="24" t="s">
        <v>77</v>
      </c>
    </row>
    <row r="7" customFormat="false" ht="23.85" hidden="false" customHeight="false" outlineLevel="0" collapsed="false">
      <c r="A7" s="19" t="str">
        <f aca="false">B7&amp;"|"&amp;C7</f>
        <v>Canal 13|FY2025</v>
      </c>
      <c r="B7" s="20" t="s">
        <v>13</v>
      </c>
      <c r="C7" s="20" t="s">
        <v>6</v>
      </c>
      <c r="D7" s="20" t="s">
        <v>66</v>
      </c>
      <c r="E7" s="20" t="s">
        <v>67</v>
      </c>
      <c r="F7" s="21" t="n">
        <v>81549524</v>
      </c>
      <c r="G7" s="21" t="n">
        <v>59951329</v>
      </c>
      <c r="H7" s="21" t="n">
        <v>2617226</v>
      </c>
      <c r="I7" s="21" t="n">
        <v>0</v>
      </c>
      <c r="J7" s="22" t="n">
        <f aca="false">IF(G7="","",SUM(G7:I7))</f>
        <v>62568555</v>
      </c>
      <c r="K7" s="22" t="n">
        <f aca="false">IF(J7="","",F7-J7)</f>
        <v>18980969</v>
      </c>
      <c r="L7" s="23" t="n">
        <f aca="false">IF(J7="","",J7/F7)</f>
        <v>0.767246109247676</v>
      </c>
      <c r="M7" s="23" t="n">
        <f aca="false">IF(J7="","",1-L7)</f>
        <v>0.232753890752324</v>
      </c>
      <c r="N7" s="23" t="n">
        <f aca="false">IF(G7="","",G7/F7)</f>
        <v>0.735152408737542</v>
      </c>
      <c r="O7" s="24" t="s">
        <v>78</v>
      </c>
      <c r="P7" s="24" t="s">
        <v>79</v>
      </c>
    </row>
    <row r="8" customFormat="false" ht="23.85" hidden="false" customHeight="false" outlineLevel="0" collapsed="false">
      <c r="A8" s="19" t="str">
        <f aca="false">B8&amp;"|"&amp;C8</f>
        <v>Canal 13|H1 2025</v>
      </c>
      <c r="B8" s="20" t="s">
        <v>13</v>
      </c>
      <c r="C8" s="20" t="s">
        <v>7</v>
      </c>
      <c r="D8" s="20" t="s">
        <v>72</v>
      </c>
      <c r="E8" s="20" t="s">
        <v>67</v>
      </c>
      <c r="F8" s="21" t="n">
        <v>37163375</v>
      </c>
      <c r="G8" s="21" t="n">
        <v>26859101</v>
      </c>
      <c r="H8" s="21" t="n">
        <v>1269184</v>
      </c>
      <c r="I8" s="21" t="n">
        <v>0</v>
      </c>
      <c r="J8" s="22" t="n">
        <f aca="false">IF(G8="","",SUM(G8:I8))</f>
        <v>28128285</v>
      </c>
      <c r="K8" s="22" t="n">
        <f aca="false">IF(J8="","",F8-J8)</f>
        <v>9035090</v>
      </c>
      <c r="L8" s="23" t="n">
        <f aca="false">IF(J8="","",J8/F8)</f>
        <v>0.756881876309673</v>
      </c>
      <c r="M8" s="23" t="n">
        <f aca="false">IF(J8="","",1-L8)</f>
        <v>0.243118123690327</v>
      </c>
      <c r="N8" s="23" t="n">
        <f aca="false">IF(G8="","",G8/F8)</f>
        <v>0.722730403253203</v>
      </c>
      <c r="O8" s="24" t="s">
        <v>80</v>
      </c>
      <c r="P8" s="24" t="s">
        <v>81</v>
      </c>
    </row>
    <row r="9" customFormat="false" ht="23.85" hidden="false" customHeight="false" outlineLevel="0" collapsed="false">
      <c r="A9" s="19" t="str">
        <f aca="false">B9&amp;"|"&amp;C9</f>
        <v>Canal 13|H1 2026</v>
      </c>
      <c r="B9" s="20" t="s">
        <v>13</v>
      </c>
      <c r="C9" s="20" t="s">
        <v>8</v>
      </c>
      <c r="D9" s="20" t="s">
        <v>72</v>
      </c>
      <c r="E9" s="20" t="s">
        <v>67</v>
      </c>
      <c r="F9" s="21" t="n">
        <v>38389971</v>
      </c>
      <c r="G9" s="21" t="n">
        <v>26162497</v>
      </c>
      <c r="H9" s="21" t="n">
        <v>1044544</v>
      </c>
      <c r="I9" s="21" t="n">
        <v>0</v>
      </c>
      <c r="J9" s="22" t="n">
        <f aca="false">IF(G9="","",SUM(G9:I9))</f>
        <v>27207041</v>
      </c>
      <c r="K9" s="22" t="n">
        <f aca="false">IF(J9="","",F9-J9)</f>
        <v>11182930</v>
      </c>
      <c r="L9" s="23" t="n">
        <f aca="false">IF(J9="","",J9/F9)</f>
        <v>0.708701785682516</v>
      </c>
      <c r="M9" s="23" t="n">
        <f aca="false">IF(J9="","",1-L9)</f>
        <v>0.291298214317484</v>
      </c>
      <c r="N9" s="23" t="n">
        <f aca="false">IF(G9="","",G9/F9)</f>
        <v>0.681493012849632</v>
      </c>
      <c r="O9" s="24" t="s">
        <v>80</v>
      </c>
      <c r="P9" s="24" t="s">
        <v>82</v>
      </c>
    </row>
    <row r="10" customFormat="false" ht="35.05" hidden="false" customHeight="false" outlineLevel="0" collapsed="false">
      <c r="A10" s="19" t="str">
        <f aca="false">B10&amp;"|"&amp;C10</f>
        <v>Mega|FY2024</v>
      </c>
      <c r="B10" s="20" t="s">
        <v>14</v>
      </c>
      <c r="C10" s="20" t="s">
        <v>5</v>
      </c>
      <c r="D10" s="20" t="s">
        <v>66</v>
      </c>
      <c r="E10" s="20" t="s">
        <v>67</v>
      </c>
      <c r="F10" s="21" t="n">
        <v>102919851</v>
      </c>
      <c r="G10" s="21" t="n">
        <v>70257656</v>
      </c>
      <c r="H10" s="19"/>
      <c r="I10" s="21" t="n">
        <v>7647449</v>
      </c>
      <c r="J10" s="22" t="n">
        <f aca="false">IF(G10="","",SUM(G10:I10))</f>
        <v>77905105</v>
      </c>
      <c r="K10" s="22" t="n">
        <f aca="false">IF(J10="","",F10-J10)</f>
        <v>25014746</v>
      </c>
      <c r="L10" s="23" t="n">
        <f aca="false">IF(J10="","",J10/F10)</f>
        <v>0.756949259477649</v>
      </c>
      <c r="M10" s="23" t="n">
        <f aca="false">IF(J10="","",1-L10)</f>
        <v>0.243050740522351</v>
      </c>
      <c r="N10" s="23" t="n">
        <f aca="false">IF(G10="","",G10/F10)</f>
        <v>0.682644361776233</v>
      </c>
      <c r="O10" s="24" t="s">
        <v>83</v>
      </c>
      <c r="P10" s="24" t="s">
        <v>84</v>
      </c>
    </row>
    <row r="11" customFormat="false" ht="23.85" hidden="false" customHeight="false" outlineLevel="0" collapsed="false">
      <c r="A11" s="19" t="str">
        <f aca="false">B11&amp;"|"&amp;C11</f>
        <v>Mega|FY2025</v>
      </c>
      <c r="B11" s="20" t="s">
        <v>14</v>
      </c>
      <c r="C11" s="20" t="s">
        <v>6</v>
      </c>
      <c r="D11" s="20" t="s">
        <v>66</v>
      </c>
      <c r="E11" s="20" t="s">
        <v>67</v>
      </c>
      <c r="F11" s="21" t="n">
        <v>104840064</v>
      </c>
      <c r="G11" s="21" t="n">
        <v>75154259</v>
      </c>
      <c r="H11" s="19"/>
      <c r="I11" s="21" t="n">
        <v>7559044</v>
      </c>
      <c r="J11" s="22" t="n">
        <f aca="false">IF(G11="","",SUM(G11:I11))</f>
        <v>82713303</v>
      </c>
      <c r="K11" s="22" t="n">
        <f aca="false">IF(J11="","",F11-J11)</f>
        <v>22126761</v>
      </c>
      <c r="L11" s="23" t="n">
        <f aca="false">IF(J11="","",J11/F11)</f>
        <v>0.788947467639852</v>
      </c>
      <c r="M11" s="23" t="n">
        <f aca="false">IF(J11="","",1-L11)</f>
        <v>0.211052532360148</v>
      </c>
      <c r="N11" s="23" t="n">
        <f aca="false">IF(G11="","",G11/F11)</f>
        <v>0.716846748586495</v>
      </c>
      <c r="O11" s="24" t="s">
        <v>83</v>
      </c>
      <c r="P11" s="24" t="s">
        <v>85</v>
      </c>
    </row>
    <row r="12" customFormat="false" ht="23.85" hidden="false" customHeight="false" outlineLevel="0" collapsed="false">
      <c r="A12" s="19" t="str">
        <f aca="false">B12&amp;"|"&amp;C12</f>
        <v>Mega|H1 2025</v>
      </c>
      <c r="B12" s="20" t="s">
        <v>14</v>
      </c>
      <c r="C12" s="20" t="s">
        <v>7</v>
      </c>
      <c r="D12" s="20" t="s">
        <v>72</v>
      </c>
      <c r="E12" s="20" t="s">
        <v>67</v>
      </c>
      <c r="F12" s="21" t="n">
        <v>54549411</v>
      </c>
      <c r="G12" s="21" t="n">
        <v>36244158</v>
      </c>
      <c r="H12" s="19"/>
      <c r="I12" s="21" t="n">
        <v>3350704</v>
      </c>
      <c r="J12" s="22" t="n">
        <f aca="false">IF(G12="","",SUM(G12:I12))</f>
        <v>39594862</v>
      </c>
      <c r="K12" s="22" t="n">
        <f aca="false">IF(J12="","",F12-J12)</f>
        <v>14954549</v>
      </c>
      <c r="L12" s="23" t="n">
        <f aca="false">IF(J12="","",J12/F12)</f>
        <v>0.725853153574839</v>
      </c>
      <c r="M12" s="23" t="n">
        <f aca="false">IF(J12="","",1-L12)</f>
        <v>0.274146846425161</v>
      </c>
      <c r="N12" s="23" t="n">
        <f aca="false">IF(G12="","",G12/F12)</f>
        <v>0.66442803571243</v>
      </c>
      <c r="O12" s="24" t="s">
        <v>86</v>
      </c>
      <c r="P12" s="24" t="s">
        <v>87</v>
      </c>
    </row>
    <row r="13" customFormat="false" ht="23.85" hidden="false" customHeight="false" outlineLevel="0" collapsed="false">
      <c r="A13" s="19" t="str">
        <f aca="false">B13&amp;"|"&amp;C13</f>
        <v>Mega|Q1 2026</v>
      </c>
      <c r="B13" s="20" t="s">
        <v>14</v>
      </c>
      <c r="C13" s="20" t="s">
        <v>88</v>
      </c>
      <c r="D13" s="20" t="s">
        <v>89</v>
      </c>
      <c r="E13" s="20" t="s">
        <v>67</v>
      </c>
      <c r="F13" s="21" t="n">
        <v>30354736</v>
      </c>
      <c r="G13" s="21" t="n">
        <v>22647735</v>
      </c>
      <c r="H13" s="19"/>
      <c r="I13" s="21" t="n">
        <v>2197367</v>
      </c>
      <c r="J13" s="22" t="n">
        <f aca="false">IF(G13="","",SUM(G13:I13))</f>
        <v>24845102</v>
      </c>
      <c r="K13" s="22" t="n">
        <f aca="false">IF(J13="","",F13-J13)</f>
        <v>5509634</v>
      </c>
      <c r="L13" s="23" t="n">
        <f aca="false">IF(J13="","",J13/F13)</f>
        <v>0.81849178329207</v>
      </c>
      <c r="M13" s="23" t="n">
        <f aca="false">IF(J13="","",1-L13)</f>
        <v>0.18150821670793</v>
      </c>
      <c r="N13" s="23" t="n">
        <f aca="false">IF(G13="","",G13/F13)</f>
        <v>0.746102189786793</v>
      </c>
      <c r="O13" s="24" t="s">
        <v>90</v>
      </c>
      <c r="P13" s="24" t="s">
        <v>91</v>
      </c>
    </row>
    <row r="14" customFormat="false" ht="23.85" hidden="false" customHeight="false" outlineLevel="0" collapsed="false">
      <c r="A14" s="19" t="str">
        <f aca="false">B14&amp;"|"&amp;C14</f>
        <v>Mega|H1 2026</v>
      </c>
      <c r="B14" s="20" t="s">
        <v>14</v>
      </c>
      <c r="C14" s="20" t="s">
        <v>8</v>
      </c>
      <c r="D14" s="20" t="s">
        <v>72</v>
      </c>
      <c r="E14" s="20" t="s">
        <v>67</v>
      </c>
      <c r="F14" s="21" t="n">
        <v>56434970</v>
      </c>
      <c r="G14" s="21" t="n">
        <v>42107628</v>
      </c>
      <c r="H14" s="19"/>
      <c r="I14" s="21" t="n">
        <v>4223409</v>
      </c>
      <c r="J14" s="22" t="n">
        <f aca="false">IF(G14="","",SUM(G14:I14))</f>
        <v>46331037</v>
      </c>
      <c r="K14" s="22" t="n">
        <f aca="false">IF(J14="","",F14-J14)</f>
        <v>10103933</v>
      </c>
      <c r="L14" s="23" t="n">
        <f aca="false">IF(J14="","",J14/F14)</f>
        <v>0.820963260900112</v>
      </c>
      <c r="M14" s="23" t="n">
        <f aca="false">IF(J14="","",1-L14)</f>
        <v>0.179036739099888</v>
      </c>
      <c r="N14" s="23" t="n">
        <f aca="false">IF(G14="","",G14/F14)</f>
        <v>0.746126524032883</v>
      </c>
      <c r="O14" s="24" t="s">
        <v>86</v>
      </c>
      <c r="P14" s="24" t="s">
        <v>92</v>
      </c>
    </row>
    <row r="15" customFormat="false" ht="35.05" hidden="false" customHeight="false" outlineLevel="0" collapsed="false">
      <c r="A15" s="19" t="str">
        <f aca="false">B15&amp;"|"&amp;C15</f>
        <v>Chilevisión|FY2024</v>
      </c>
      <c r="B15" s="20" t="s">
        <v>15</v>
      </c>
      <c r="C15" s="20" t="s">
        <v>5</v>
      </c>
      <c r="D15" s="20" t="s">
        <v>66</v>
      </c>
      <c r="E15" s="20" t="s">
        <v>67</v>
      </c>
      <c r="F15" s="21" t="n">
        <v>73317526</v>
      </c>
      <c r="G15" s="21" t="n">
        <v>66752603</v>
      </c>
      <c r="H15" s="19"/>
      <c r="I15" s="19"/>
      <c r="J15" s="22" t="n">
        <f aca="false">IF(G15="","",SUM(G15:I15))</f>
        <v>66752603</v>
      </c>
      <c r="K15" s="22" t="n">
        <f aca="false">IF(J15="","",F15-J15)</f>
        <v>6564923</v>
      </c>
      <c r="L15" s="23" t="n">
        <f aca="false">IF(J15="","",J15/F15)</f>
        <v>0.910459021762409</v>
      </c>
      <c r="M15" s="23" t="n">
        <f aca="false">IF(J15="","",1-L15)</f>
        <v>0.0895409782375909</v>
      </c>
      <c r="N15" s="23" t="n">
        <f aca="false">IF(G15="","",G15/F15)</f>
        <v>0.910459021762409</v>
      </c>
      <c r="O15" s="24" t="s">
        <v>93</v>
      </c>
      <c r="P15" s="24" t="s">
        <v>94</v>
      </c>
    </row>
    <row r="16" customFormat="false" ht="23.85" hidden="false" customHeight="false" outlineLevel="0" collapsed="false">
      <c r="A16" s="19" t="str">
        <f aca="false">B16&amp;"|"&amp;C16</f>
        <v>Chilevisión|FY2025</v>
      </c>
      <c r="B16" s="20" t="s">
        <v>15</v>
      </c>
      <c r="C16" s="20" t="s">
        <v>6</v>
      </c>
      <c r="D16" s="20" t="s">
        <v>66</v>
      </c>
      <c r="E16" s="20" t="s">
        <v>67</v>
      </c>
      <c r="F16" s="21" t="n">
        <v>72498180</v>
      </c>
      <c r="G16" s="21" t="n">
        <v>64981856</v>
      </c>
      <c r="H16" s="19"/>
      <c r="I16" s="19"/>
      <c r="J16" s="22" t="n">
        <f aca="false">IF(G16="","",SUM(G16:I16))</f>
        <v>64981856</v>
      </c>
      <c r="K16" s="22" t="n">
        <f aca="false">IF(J16="","",F16-J16)</f>
        <v>7516324</v>
      </c>
      <c r="L16" s="23" t="n">
        <f aca="false">IF(J16="","",J16/F16)</f>
        <v>0.896323962891206</v>
      </c>
      <c r="M16" s="23" t="n">
        <f aca="false">IF(J16="","",1-L16)</f>
        <v>0.103676037108794</v>
      </c>
      <c r="N16" s="23" t="n">
        <f aca="false">IF(G16="","",G16/F16)</f>
        <v>0.896323962891206</v>
      </c>
      <c r="O16" s="24" t="s">
        <v>93</v>
      </c>
      <c r="P16" s="24" t="s">
        <v>95</v>
      </c>
    </row>
    <row r="17" customFormat="false" ht="57.45" hidden="false" customHeight="false" outlineLevel="0" collapsed="false">
      <c r="A17" s="19" t="str">
        <f aca="false">B17&amp;"|"&amp;C17</f>
        <v>Chilevisión|H1 2025</v>
      </c>
      <c r="B17" s="20" t="s">
        <v>15</v>
      </c>
      <c r="C17" s="20" t="s">
        <v>7</v>
      </c>
      <c r="D17" s="20" t="s">
        <v>72</v>
      </c>
      <c r="E17" s="20" t="s">
        <v>67</v>
      </c>
      <c r="F17" s="21" t="n">
        <v>35226547</v>
      </c>
      <c r="G17" s="21" t="n">
        <v>33494199</v>
      </c>
      <c r="H17" s="19"/>
      <c r="I17" s="19"/>
      <c r="J17" s="22" t="n">
        <f aca="false">IF(G17="","",SUM(G17:I17))</f>
        <v>33494199</v>
      </c>
      <c r="K17" s="22" t="n">
        <f aca="false">IF(J17="","",F17-J17)</f>
        <v>1732348</v>
      </c>
      <c r="L17" s="23" t="n">
        <f aca="false">IF(J17="","",J17/F17)</f>
        <v>0.95082265656069</v>
      </c>
      <c r="M17" s="23" t="n">
        <f aca="false">IF(J17="","",1-L17)</f>
        <v>0.0491773434393101</v>
      </c>
      <c r="N17" s="23" t="n">
        <f aca="false">IF(G17="","",G17/F17)</f>
        <v>0.95082265656069</v>
      </c>
      <c r="O17" s="24" t="s">
        <v>96</v>
      </c>
      <c r="P17" s="24" t="s">
        <v>97</v>
      </c>
    </row>
    <row r="18" customFormat="false" ht="23.85" hidden="false" customHeight="false" outlineLevel="0" collapsed="false">
      <c r="A18" s="19" t="str">
        <f aca="false">B18&amp;"|"&amp;C18</f>
        <v>Chilevisión|Q1 2026</v>
      </c>
      <c r="B18" s="20" t="s">
        <v>15</v>
      </c>
      <c r="C18" s="20" t="s">
        <v>88</v>
      </c>
      <c r="D18" s="20" t="s">
        <v>89</v>
      </c>
      <c r="E18" s="20" t="s">
        <v>67</v>
      </c>
      <c r="F18" s="21" t="n">
        <v>15107634</v>
      </c>
      <c r="G18" s="21" t="n">
        <v>13733801</v>
      </c>
      <c r="H18" s="19"/>
      <c r="I18" s="19"/>
      <c r="J18" s="22" t="n">
        <f aca="false">IF(G18="","",SUM(G18:I18))</f>
        <v>13733801</v>
      </c>
      <c r="K18" s="22" t="n">
        <f aca="false">IF(J18="","",F18-J18)</f>
        <v>1373833</v>
      </c>
      <c r="L18" s="23" t="n">
        <f aca="false">IF(J18="","",J18/F18)</f>
        <v>0.909063656162176</v>
      </c>
      <c r="M18" s="23" t="n">
        <f aca="false">IF(J18="","",1-L18)</f>
        <v>0.090936343837824</v>
      </c>
      <c r="N18" s="23" t="n">
        <f aca="false">IF(G18="","",G18/F18)</f>
        <v>0.909063656162176</v>
      </c>
      <c r="O18" s="24" t="s">
        <v>98</v>
      </c>
      <c r="P18" s="24" t="s">
        <v>99</v>
      </c>
    </row>
    <row r="19" customFormat="false" ht="23.85" hidden="false" customHeight="false" outlineLevel="0" collapsed="false">
      <c r="A19" s="19" t="str">
        <f aca="false">B19&amp;"|"&amp;C19</f>
        <v>Chilevisión|H1 2026</v>
      </c>
      <c r="B19" s="20" t="s">
        <v>15</v>
      </c>
      <c r="C19" s="20" t="s">
        <v>8</v>
      </c>
      <c r="D19" s="20" t="s">
        <v>72</v>
      </c>
      <c r="E19" s="20" t="s">
        <v>67</v>
      </c>
      <c r="F19" s="21" t="n">
        <v>36231357</v>
      </c>
      <c r="G19" s="21" t="n">
        <v>32933666</v>
      </c>
      <c r="H19" s="19"/>
      <c r="I19" s="19"/>
      <c r="J19" s="22" t="n">
        <f aca="false">IF(G19="","",SUM(G19:I19))</f>
        <v>32933666</v>
      </c>
      <c r="K19" s="22" t="n">
        <f aca="false">IF(J19="","",F19-J19)</f>
        <v>3297691</v>
      </c>
      <c r="L19" s="23" t="n">
        <f aca="false">IF(J19="","",J19/F19)</f>
        <v>0.90898240438524</v>
      </c>
      <c r="M19" s="23" t="n">
        <f aca="false">IF(J19="","",1-L19)</f>
        <v>0.0910175956147599</v>
      </c>
      <c r="N19" s="23" t="n">
        <f aca="false">IF(G19="","",G19/F19)</f>
        <v>0.90898240438524</v>
      </c>
      <c r="O19" s="24" t="s">
        <v>96</v>
      </c>
      <c r="P19" s="24" t="s">
        <v>100</v>
      </c>
    </row>
    <row r="21" customFormat="false" ht="15" hidden="false" customHeight="false" outlineLevel="0" collapsed="false">
      <c r="B21" s="1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10" min="8" style="0" width="10"/>
    <col collapsed="false" customWidth="true" hidden="false" outlineLevel="0" max="11" min="11" style="0" width="16"/>
    <col collapsed="false" customWidth="true" hidden="false" outlineLevel="0" max="12" min="12" style="0" width="70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22"/>
  </cols>
  <sheetData>
    <row r="1" customFormat="false" ht="45" hidden="false" customHeight="true" outlineLevel="0" collapsed="false">
      <c r="A1" s="18" t="s">
        <v>3</v>
      </c>
      <c r="B1" s="18" t="s">
        <v>53</v>
      </c>
      <c r="C1" s="18" t="s">
        <v>65</v>
      </c>
      <c r="D1" s="18" t="s">
        <v>102</v>
      </c>
      <c r="E1" s="18" t="s">
        <v>103</v>
      </c>
      <c r="F1" s="18" t="s">
        <v>104</v>
      </c>
      <c r="G1" s="18" t="s">
        <v>105</v>
      </c>
      <c r="H1" s="18" t="s">
        <v>106</v>
      </c>
      <c r="I1" s="18" t="s">
        <v>107</v>
      </c>
      <c r="J1" s="18" t="s">
        <v>108</v>
      </c>
      <c r="K1" s="18" t="s">
        <v>109</v>
      </c>
      <c r="L1" s="18" t="s">
        <v>110</v>
      </c>
      <c r="M1" s="18" t="s">
        <v>111</v>
      </c>
      <c r="N1" s="18" t="s">
        <v>112</v>
      </c>
      <c r="O1" s="18" t="s">
        <v>113</v>
      </c>
    </row>
    <row r="2" customFormat="false" ht="23.85" hidden="false" customHeight="false" outlineLevel="0" collapsed="false">
      <c r="A2" s="20" t="s">
        <v>13</v>
      </c>
      <c r="B2" s="20" t="s">
        <v>5</v>
      </c>
      <c r="C2" s="20" t="s">
        <v>67</v>
      </c>
      <c r="D2" s="24" t="s">
        <v>114</v>
      </c>
      <c r="E2" s="21" t="n">
        <v>57302601</v>
      </c>
      <c r="F2" s="25" t="s">
        <v>115</v>
      </c>
      <c r="G2" s="25" t="s">
        <v>116</v>
      </c>
      <c r="H2" s="25" t="s">
        <v>117</v>
      </c>
      <c r="I2" s="25" t="s">
        <v>118</v>
      </c>
      <c r="J2" s="25" t="s">
        <v>118</v>
      </c>
      <c r="K2" s="20" t="s">
        <v>119</v>
      </c>
      <c r="L2" s="24" t="s">
        <v>120</v>
      </c>
      <c r="M2" s="24" t="s">
        <v>121</v>
      </c>
      <c r="N2" s="20" t="s">
        <v>10</v>
      </c>
      <c r="O2" s="20" t="s">
        <v>10</v>
      </c>
    </row>
    <row r="3" customFormat="false" ht="23.85" hidden="false" customHeight="false" outlineLevel="0" collapsed="false">
      <c r="A3" s="20" t="s">
        <v>13</v>
      </c>
      <c r="B3" s="20" t="s">
        <v>5</v>
      </c>
      <c r="C3" s="20" t="s">
        <v>67</v>
      </c>
      <c r="D3" s="24" t="s">
        <v>122</v>
      </c>
      <c r="E3" s="21" t="n">
        <v>2642229</v>
      </c>
      <c r="F3" s="25" t="s">
        <v>115</v>
      </c>
      <c r="G3" s="25" t="s">
        <v>116</v>
      </c>
      <c r="H3" s="25" t="s">
        <v>117</v>
      </c>
      <c r="I3" s="25" t="s">
        <v>118</v>
      </c>
      <c r="J3" s="25" t="s">
        <v>118</v>
      </c>
      <c r="K3" s="20" t="s">
        <v>123</v>
      </c>
      <c r="L3" s="24" t="s">
        <v>124</v>
      </c>
      <c r="M3" s="24" t="s">
        <v>121</v>
      </c>
      <c r="N3" s="20" t="s">
        <v>10</v>
      </c>
      <c r="O3" s="20" t="s">
        <v>10</v>
      </c>
    </row>
    <row r="4" customFormat="false" ht="35.05" hidden="false" customHeight="false" outlineLevel="0" collapsed="false">
      <c r="A4" s="20" t="s">
        <v>13</v>
      </c>
      <c r="B4" s="20" t="s">
        <v>5</v>
      </c>
      <c r="C4" s="20" t="s">
        <v>67</v>
      </c>
      <c r="D4" s="24" t="s">
        <v>125</v>
      </c>
      <c r="E4" s="21" t="n">
        <v>18965459</v>
      </c>
      <c r="F4" s="25" t="s">
        <v>126</v>
      </c>
      <c r="G4" s="25" t="s">
        <v>127</v>
      </c>
      <c r="H4" s="25" t="s">
        <v>118</v>
      </c>
      <c r="I4" s="25" t="s">
        <v>117</v>
      </c>
      <c r="J4" s="25" t="s">
        <v>117</v>
      </c>
      <c r="K4" s="20" t="s">
        <v>128</v>
      </c>
      <c r="L4" s="24" t="s">
        <v>129</v>
      </c>
      <c r="M4" s="24" t="s">
        <v>121</v>
      </c>
      <c r="N4" s="20" t="s">
        <v>11</v>
      </c>
      <c r="O4" s="20" t="s">
        <v>17</v>
      </c>
    </row>
    <row r="5" customFormat="false" ht="23.85" hidden="false" customHeight="false" outlineLevel="0" collapsed="false">
      <c r="A5" s="20" t="s">
        <v>13</v>
      </c>
      <c r="B5" s="20" t="s">
        <v>6</v>
      </c>
      <c r="C5" s="20" t="s">
        <v>67</v>
      </c>
      <c r="D5" s="24" t="s">
        <v>114</v>
      </c>
      <c r="E5" s="21" t="n">
        <v>59951329</v>
      </c>
      <c r="F5" s="25" t="s">
        <v>115</v>
      </c>
      <c r="G5" s="25" t="s">
        <v>116</v>
      </c>
      <c r="H5" s="25" t="s">
        <v>117</v>
      </c>
      <c r="I5" s="25" t="s">
        <v>118</v>
      </c>
      <c r="J5" s="25" t="s">
        <v>118</v>
      </c>
      <c r="K5" s="20" t="s">
        <v>119</v>
      </c>
      <c r="L5" s="24" t="s">
        <v>120</v>
      </c>
      <c r="M5" s="24" t="s">
        <v>130</v>
      </c>
      <c r="N5" s="20" t="s">
        <v>10</v>
      </c>
      <c r="O5" s="20" t="s">
        <v>10</v>
      </c>
    </row>
    <row r="6" customFormat="false" ht="23.85" hidden="false" customHeight="false" outlineLevel="0" collapsed="false">
      <c r="A6" s="20" t="s">
        <v>13</v>
      </c>
      <c r="B6" s="20" t="s">
        <v>6</v>
      </c>
      <c r="C6" s="20" t="s">
        <v>67</v>
      </c>
      <c r="D6" s="24" t="s">
        <v>122</v>
      </c>
      <c r="E6" s="21" t="n">
        <v>2617226</v>
      </c>
      <c r="F6" s="25" t="s">
        <v>115</v>
      </c>
      <c r="G6" s="25" t="s">
        <v>116</v>
      </c>
      <c r="H6" s="25" t="s">
        <v>117</v>
      </c>
      <c r="I6" s="25" t="s">
        <v>118</v>
      </c>
      <c r="J6" s="25" t="s">
        <v>118</v>
      </c>
      <c r="K6" s="20" t="s">
        <v>123</v>
      </c>
      <c r="L6" s="24" t="s">
        <v>124</v>
      </c>
      <c r="M6" s="24" t="s">
        <v>130</v>
      </c>
      <c r="N6" s="20" t="s">
        <v>10</v>
      </c>
      <c r="O6" s="20" t="s">
        <v>10</v>
      </c>
    </row>
    <row r="7" customFormat="false" ht="35.05" hidden="false" customHeight="false" outlineLevel="0" collapsed="false">
      <c r="A7" s="20" t="s">
        <v>13</v>
      </c>
      <c r="B7" s="20" t="s">
        <v>6</v>
      </c>
      <c r="C7" s="20" t="s">
        <v>67</v>
      </c>
      <c r="D7" s="24" t="s">
        <v>125</v>
      </c>
      <c r="E7" s="21" t="n">
        <v>18980969</v>
      </c>
      <c r="F7" s="25" t="s">
        <v>126</v>
      </c>
      <c r="G7" s="25" t="s">
        <v>127</v>
      </c>
      <c r="H7" s="25" t="s">
        <v>118</v>
      </c>
      <c r="I7" s="25" t="s">
        <v>117</v>
      </c>
      <c r="J7" s="25" t="s">
        <v>117</v>
      </c>
      <c r="K7" s="20" t="s">
        <v>128</v>
      </c>
      <c r="L7" s="24" t="s">
        <v>129</v>
      </c>
      <c r="M7" s="24" t="s">
        <v>130</v>
      </c>
      <c r="N7" s="20" t="s">
        <v>11</v>
      </c>
      <c r="O7" s="20" t="s">
        <v>17</v>
      </c>
    </row>
    <row r="8" customFormat="false" ht="23.85" hidden="false" customHeight="false" outlineLevel="0" collapsed="false">
      <c r="A8" s="20" t="s">
        <v>13</v>
      </c>
      <c r="B8" s="20" t="s">
        <v>7</v>
      </c>
      <c r="C8" s="20" t="s">
        <v>67</v>
      </c>
      <c r="D8" s="24" t="s">
        <v>114</v>
      </c>
      <c r="E8" s="21" t="n">
        <v>26859101</v>
      </c>
      <c r="F8" s="25" t="s">
        <v>115</v>
      </c>
      <c r="G8" s="25" t="s">
        <v>116</v>
      </c>
      <c r="H8" s="25" t="s">
        <v>117</v>
      </c>
      <c r="I8" s="25" t="s">
        <v>118</v>
      </c>
      <c r="J8" s="25" t="s">
        <v>118</v>
      </c>
      <c r="K8" s="20" t="s">
        <v>119</v>
      </c>
      <c r="L8" s="24" t="s">
        <v>120</v>
      </c>
      <c r="M8" s="24" t="s">
        <v>131</v>
      </c>
      <c r="N8" s="20" t="s">
        <v>10</v>
      </c>
      <c r="O8" s="20" t="s">
        <v>10</v>
      </c>
    </row>
    <row r="9" customFormat="false" ht="23.85" hidden="false" customHeight="false" outlineLevel="0" collapsed="false">
      <c r="A9" s="20" t="s">
        <v>13</v>
      </c>
      <c r="B9" s="20" t="s">
        <v>7</v>
      </c>
      <c r="C9" s="20" t="s">
        <v>67</v>
      </c>
      <c r="D9" s="24" t="s">
        <v>122</v>
      </c>
      <c r="E9" s="21" t="n">
        <v>1269184</v>
      </c>
      <c r="F9" s="25" t="s">
        <v>115</v>
      </c>
      <c r="G9" s="25" t="s">
        <v>116</v>
      </c>
      <c r="H9" s="25" t="s">
        <v>117</v>
      </c>
      <c r="I9" s="25" t="s">
        <v>118</v>
      </c>
      <c r="J9" s="25" t="s">
        <v>118</v>
      </c>
      <c r="K9" s="20" t="s">
        <v>123</v>
      </c>
      <c r="L9" s="24" t="s">
        <v>124</v>
      </c>
      <c r="M9" s="24" t="s">
        <v>131</v>
      </c>
      <c r="N9" s="20" t="s">
        <v>10</v>
      </c>
      <c r="O9" s="20" t="s">
        <v>10</v>
      </c>
    </row>
    <row r="10" customFormat="false" ht="35.05" hidden="false" customHeight="false" outlineLevel="0" collapsed="false">
      <c r="A10" s="20" t="s">
        <v>13</v>
      </c>
      <c r="B10" s="20" t="s">
        <v>7</v>
      </c>
      <c r="C10" s="20" t="s">
        <v>67</v>
      </c>
      <c r="D10" s="24" t="s">
        <v>125</v>
      </c>
      <c r="E10" s="21" t="n">
        <v>9035090</v>
      </c>
      <c r="F10" s="25" t="s">
        <v>126</v>
      </c>
      <c r="G10" s="25" t="s">
        <v>127</v>
      </c>
      <c r="H10" s="25" t="s">
        <v>118</v>
      </c>
      <c r="I10" s="25" t="s">
        <v>117</v>
      </c>
      <c r="J10" s="25" t="s">
        <v>117</v>
      </c>
      <c r="K10" s="20" t="s">
        <v>128</v>
      </c>
      <c r="L10" s="24" t="s">
        <v>129</v>
      </c>
      <c r="M10" s="24" t="s">
        <v>131</v>
      </c>
      <c r="N10" s="20" t="s">
        <v>11</v>
      </c>
      <c r="O10" s="20" t="s">
        <v>17</v>
      </c>
    </row>
    <row r="11" customFormat="false" ht="23.85" hidden="false" customHeight="false" outlineLevel="0" collapsed="false">
      <c r="A11" s="20" t="s">
        <v>13</v>
      </c>
      <c r="B11" s="20" t="s">
        <v>8</v>
      </c>
      <c r="C11" s="20" t="s">
        <v>67</v>
      </c>
      <c r="D11" s="24" t="s">
        <v>114</v>
      </c>
      <c r="E11" s="21" t="n">
        <v>26162497</v>
      </c>
      <c r="F11" s="25" t="s">
        <v>115</v>
      </c>
      <c r="G11" s="25" t="s">
        <v>116</v>
      </c>
      <c r="H11" s="25" t="s">
        <v>117</v>
      </c>
      <c r="I11" s="25" t="s">
        <v>118</v>
      </c>
      <c r="J11" s="25" t="s">
        <v>118</v>
      </c>
      <c r="K11" s="20" t="s">
        <v>119</v>
      </c>
      <c r="L11" s="24" t="s">
        <v>120</v>
      </c>
      <c r="M11" s="24" t="s">
        <v>131</v>
      </c>
      <c r="N11" s="20" t="s">
        <v>10</v>
      </c>
      <c r="O11" s="20" t="s">
        <v>10</v>
      </c>
    </row>
    <row r="12" customFormat="false" ht="23.85" hidden="false" customHeight="false" outlineLevel="0" collapsed="false">
      <c r="A12" s="20" t="s">
        <v>13</v>
      </c>
      <c r="B12" s="20" t="s">
        <v>8</v>
      </c>
      <c r="C12" s="20" t="s">
        <v>67</v>
      </c>
      <c r="D12" s="24" t="s">
        <v>122</v>
      </c>
      <c r="E12" s="21" t="n">
        <v>1044544</v>
      </c>
      <c r="F12" s="25" t="s">
        <v>115</v>
      </c>
      <c r="G12" s="25" t="s">
        <v>116</v>
      </c>
      <c r="H12" s="25" t="s">
        <v>117</v>
      </c>
      <c r="I12" s="25" t="s">
        <v>118</v>
      </c>
      <c r="J12" s="25" t="s">
        <v>118</v>
      </c>
      <c r="K12" s="20" t="s">
        <v>123</v>
      </c>
      <c r="L12" s="24" t="s">
        <v>124</v>
      </c>
      <c r="M12" s="24" t="s">
        <v>131</v>
      </c>
      <c r="N12" s="20" t="s">
        <v>10</v>
      </c>
      <c r="O12" s="20" t="s">
        <v>10</v>
      </c>
    </row>
    <row r="13" customFormat="false" ht="35.05" hidden="false" customHeight="false" outlineLevel="0" collapsed="false">
      <c r="A13" s="20" t="s">
        <v>13</v>
      </c>
      <c r="B13" s="20" t="s">
        <v>8</v>
      </c>
      <c r="C13" s="20" t="s">
        <v>67</v>
      </c>
      <c r="D13" s="24" t="s">
        <v>125</v>
      </c>
      <c r="E13" s="21" t="n">
        <v>11182930</v>
      </c>
      <c r="F13" s="25" t="s">
        <v>126</v>
      </c>
      <c r="G13" s="25" t="s">
        <v>127</v>
      </c>
      <c r="H13" s="25" t="s">
        <v>118</v>
      </c>
      <c r="I13" s="25" t="s">
        <v>117</v>
      </c>
      <c r="J13" s="25" t="s">
        <v>117</v>
      </c>
      <c r="K13" s="20" t="s">
        <v>128</v>
      </c>
      <c r="L13" s="24" t="s">
        <v>129</v>
      </c>
      <c r="M13" s="24" t="s">
        <v>131</v>
      </c>
      <c r="N13" s="20" t="s">
        <v>11</v>
      </c>
      <c r="O13" s="20" t="s">
        <v>17</v>
      </c>
    </row>
    <row r="14" customFormat="false" ht="23.85" hidden="false" customHeight="false" outlineLevel="0" collapsed="false">
      <c r="A14" s="20" t="s">
        <v>14</v>
      </c>
      <c r="B14" s="20" t="s">
        <v>5</v>
      </c>
      <c r="C14" s="20" t="s">
        <v>67</v>
      </c>
      <c r="D14" s="24" t="s">
        <v>132</v>
      </c>
      <c r="E14" s="21" t="n">
        <v>70257656</v>
      </c>
      <c r="F14" s="25" t="s">
        <v>115</v>
      </c>
      <c r="G14" s="25" t="s">
        <v>116</v>
      </c>
      <c r="H14" s="25" t="s">
        <v>117</v>
      </c>
      <c r="I14" s="25" t="s">
        <v>118</v>
      </c>
      <c r="J14" s="25" t="s">
        <v>118</v>
      </c>
      <c r="K14" s="20" t="s">
        <v>133</v>
      </c>
      <c r="L14" s="24" t="s">
        <v>134</v>
      </c>
      <c r="M14" s="24" t="s">
        <v>135</v>
      </c>
      <c r="N14" s="20" t="s">
        <v>10</v>
      </c>
      <c r="O14" s="20" t="s">
        <v>10</v>
      </c>
    </row>
    <row r="15" customFormat="false" ht="23.85" hidden="false" customHeight="false" outlineLevel="0" collapsed="false">
      <c r="A15" s="20" t="s">
        <v>14</v>
      </c>
      <c r="B15" s="20" t="s">
        <v>5</v>
      </c>
      <c r="C15" s="20" t="s">
        <v>67</v>
      </c>
      <c r="D15" s="24" t="s">
        <v>136</v>
      </c>
      <c r="E15" s="21" t="n">
        <v>25014746</v>
      </c>
      <c r="F15" s="25" t="s">
        <v>126</v>
      </c>
      <c r="G15" s="25" t="s">
        <v>116</v>
      </c>
      <c r="H15" s="25" t="s">
        <v>118</v>
      </c>
      <c r="I15" s="25" t="s">
        <v>117</v>
      </c>
      <c r="J15" s="25" t="s">
        <v>118</v>
      </c>
      <c r="K15" s="20" t="s">
        <v>137</v>
      </c>
      <c r="L15" s="24" t="s">
        <v>138</v>
      </c>
      <c r="M15" s="24" t="s">
        <v>135</v>
      </c>
      <c r="N15" s="20" t="s">
        <v>11</v>
      </c>
      <c r="O15" s="20" t="s">
        <v>17</v>
      </c>
    </row>
    <row r="16" customFormat="false" ht="23.85" hidden="false" customHeight="false" outlineLevel="0" collapsed="false">
      <c r="A16" s="20" t="s">
        <v>14</v>
      </c>
      <c r="B16" s="20" t="s">
        <v>5</v>
      </c>
      <c r="C16" s="20" t="s">
        <v>67</v>
      </c>
      <c r="D16" s="24" t="s">
        <v>139</v>
      </c>
      <c r="E16" s="21" t="n">
        <v>7647449</v>
      </c>
      <c r="F16" s="25" t="s">
        <v>115</v>
      </c>
      <c r="G16" s="25" t="s">
        <v>116</v>
      </c>
      <c r="H16" s="25" t="s">
        <v>117</v>
      </c>
      <c r="I16" s="25" t="s">
        <v>118</v>
      </c>
      <c r="J16" s="25" t="s">
        <v>118</v>
      </c>
      <c r="K16" s="20" t="s">
        <v>140</v>
      </c>
      <c r="L16" s="24" t="s">
        <v>141</v>
      </c>
      <c r="M16" s="24" t="s">
        <v>135</v>
      </c>
      <c r="N16" s="20" t="s">
        <v>10</v>
      </c>
      <c r="O16" s="20" t="s">
        <v>10</v>
      </c>
    </row>
    <row r="17" customFormat="false" ht="23.85" hidden="false" customHeight="false" outlineLevel="0" collapsed="false">
      <c r="A17" s="20" t="s">
        <v>14</v>
      </c>
      <c r="B17" s="20" t="s">
        <v>6</v>
      </c>
      <c r="C17" s="20" t="s">
        <v>67</v>
      </c>
      <c r="D17" s="24" t="s">
        <v>132</v>
      </c>
      <c r="E17" s="21" t="n">
        <v>75154259</v>
      </c>
      <c r="F17" s="25" t="s">
        <v>115</v>
      </c>
      <c r="G17" s="25" t="s">
        <v>116</v>
      </c>
      <c r="H17" s="25" t="s">
        <v>117</v>
      </c>
      <c r="I17" s="25" t="s">
        <v>118</v>
      </c>
      <c r="J17" s="25" t="s">
        <v>118</v>
      </c>
      <c r="K17" s="20" t="s">
        <v>133</v>
      </c>
      <c r="L17" s="24" t="s">
        <v>134</v>
      </c>
      <c r="M17" s="24" t="s">
        <v>135</v>
      </c>
      <c r="N17" s="20" t="s">
        <v>10</v>
      </c>
      <c r="O17" s="20" t="s">
        <v>10</v>
      </c>
    </row>
    <row r="18" customFormat="false" ht="23.85" hidden="false" customHeight="false" outlineLevel="0" collapsed="false">
      <c r="A18" s="20" t="s">
        <v>14</v>
      </c>
      <c r="B18" s="20" t="s">
        <v>6</v>
      </c>
      <c r="C18" s="20" t="s">
        <v>67</v>
      </c>
      <c r="D18" s="24" t="s">
        <v>136</v>
      </c>
      <c r="E18" s="21" t="n">
        <v>22126761</v>
      </c>
      <c r="F18" s="25" t="s">
        <v>126</v>
      </c>
      <c r="G18" s="25" t="s">
        <v>116</v>
      </c>
      <c r="H18" s="25" t="s">
        <v>118</v>
      </c>
      <c r="I18" s="25" t="s">
        <v>117</v>
      </c>
      <c r="J18" s="25" t="s">
        <v>118</v>
      </c>
      <c r="K18" s="20" t="s">
        <v>137</v>
      </c>
      <c r="L18" s="24" t="s">
        <v>138</v>
      </c>
      <c r="M18" s="24" t="s">
        <v>135</v>
      </c>
      <c r="N18" s="20" t="s">
        <v>11</v>
      </c>
      <c r="O18" s="20" t="s">
        <v>17</v>
      </c>
    </row>
    <row r="19" customFormat="false" ht="23.85" hidden="false" customHeight="false" outlineLevel="0" collapsed="false">
      <c r="A19" s="20" t="s">
        <v>14</v>
      </c>
      <c r="B19" s="20" t="s">
        <v>6</v>
      </c>
      <c r="C19" s="20" t="s">
        <v>67</v>
      </c>
      <c r="D19" s="24" t="s">
        <v>139</v>
      </c>
      <c r="E19" s="21" t="n">
        <v>7559044</v>
      </c>
      <c r="F19" s="25" t="s">
        <v>115</v>
      </c>
      <c r="G19" s="25" t="s">
        <v>116</v>
      </c>
      <c r="H19" s="25" t="s">
        <v>117</v>
      </c>
      <c r="I19" s="25" t="s">
        <v>118</v>
      </c>
      <c r="J19" s="25" t="s">
        <v>118</v>
      </c>
      <c r="K19" s="20" t="s">
        <v>140</v>
      </c>
      <c r="L19" s="24" t="s">
        <v>141</v>
      </c>
      <c r="M19" s="24" t="s">
        <v>135</v>
      </c>
      <c r="N19" s="20" t="s">
        <v>10</v>
      </c>
      <c r="O19" s="20" t="s">
        <v>10</v>
      </c>
    </row>
    <row r="20" customFormat="false" ht="15" hidden="false" customHeight="false" outlineLevel="0" collapsed="false">
      <c r="A20" s="20" t="s">
        <v>15</v>
      </c>
      <c r="B20" s="20" t="s">
        <v>5</v>
      </c>
      <c r="C20" s="20" t="s">
        <v>67</v>
      </c>
      <c r="D20" s="24" t="s">
        <v>142</v>
      </c>
      <c r="E20" s="21" t="n">
        <v>66752603</v>
      </c>
      <c r="F20" s="25" t="s">
        <v>115</v>
      </c>
      <c r="G20" s="25" t="s">
        <v>116</v>
      </c>
      <c r="H20" s="25" t="s">
        <v>117</v>
      </c>
      <c r="I20" s="25" t="s">
        <v>118</v>
      </c>
      <c r="J20" s="25" t="s">
        <v>118</v>
      </c>
      <c r="K20" s="20" t="s">
        <v>119</v>
      </c>
      <c r="L20" s="24" t="s">
        <v>143</v>
      </c>
      <c r="M20" s="24" t="s">
        <v>144</v>
      </c>
      <c r="N20" s="20" t="s">
        <v>10</v>
      </c>
      <c r="O20" s="20" t="s">
        <v>10</v>
      </c>
    </row>
    <row r="21" customFormat="false" ht="35.05" hidden="false" customHeight="false" outlineLevel="0" collapsed="false">
      <c r="A21" s="20" t="s">
        <v>15</v>
      </c>
      <c r="B21" s="20" t="s">
        <v>5</v>
      </c>
      <c r="C21" s="20" t="s">
        <v>67</v>
      </c>
      <c r="D21" s="24" t="s">
        <v>145</v>
      </c>
      <c r="E21" s="21" t="n">
        <v>6564923</v>
      </c>
      <c r="F21" s="25" t="s">
        <v>126</v>
      </c>
      <c r="G21" s="25" t="s">
        <v>127</v>
      </c>
      <c r="H21" s="25" t="s">
        <v>117</v>
      </c>
      <c r="I21" s="25" t="s">
        <v>117</v>
      </c>
      <c r="J21" s="25" t="s">
        <v>117</v>
      </c>
      <c r="K21" s="20" t="s">
        <v>128</v>
      </c>
      <c r="L21" s="24" t="s">
        <v>146</v>
      </c>
      <c r="M21" s="24" t="s">
        <v>144</v>
      </c>
      <c r="N21" s="20" t="s">
        <v>11</v>
      </c>
      <c r="O21" s="20" t="s">
        <v>17</v>
      </c>
    </row>
    <row r="22" customFormat="false" ht="15" hidden="false" customHeight="false" outlineLevel="0" collapsed="false">
      <c r="A22" s="20" t="s">
        <v>15</v>
      </c>
      <c r="B22" s="20" t="s">
        <v>6</v>
      </c>
      <c r="C22" s="20" t="s">
        <v>67</v>
      </c>
      <c r="D22" s="24" t="s">
        <v>142</v>
      </c>
      <c r="E22" s="21" t="n">
        <v>64981856</v>
      </c>
      <c r="F22" s="25" t="s">
        <v>115</v>
      </c>
      <c r="G22" s="25" t="s">
        <v>116</v>
      </c>
      <c r="H22" s="25" t="s">
        <v>117</v>
      </c>
      <c r="I22" s="25" t="s">
        <v>118</v>
      </c>
      <c r="J22" s="25" t="s">
        <v>118</v>
      </c>
      <c r="K22" s="20" t="s">
        <v>119</v>
      </c>
      <c r="L22" s="24" t="s">
        <v>143</v>
      </c>
      <c r="M22" s="24" t="s">
        <v>144</v>
      </c>
      <c r="N22" s="20" t="s">
        <v>10</v>
      </c>
      <c r="O22" s="20" t="s">
        <v>10</v>
      </c>
    </row>
    <row r="23" customFormat="false" ht="35.05" hidden="false" customHeight="false" outlineLevel="0" collapsed="false">
      <c r="A23" s="20" t="s">
        <v>15</v>
      </c>
      <c r="B23" s="20" t="s">
        <v>6</v>
      </c>
      <c r="C23" s="20" t="s">
        <v>67</v>
      </c>
      <c r="D23" s="24" t="s">
        <v>145</v>
      </c>
      <c r="E23" s="21" t="n">
        <v>7516324</v>
      </c>
      <c r="F23" s="25" t="s">
        <v>126</v>
      </c>
      <c r="G23" s="25" t="s">
        <v>127</v>
      </c>
      <c r="H23" s="25" t="s">
        <v>117</v>
      </c>
      <c r="I23" s="25" t="s">
        <v>117</v>
      </c>
      <c r="J23" s="25" t="s">
        <v>117</v>
      </c>
      <c r="K23" s="20" t="s">
        <v>128</v>
      </c>
      <c r="L23" s="24" t="s">
        <v>146</v>
      </c>
      <c r="M23" s="24" t="s">
        <v>144</v>
      </c>
      <c r="N23" s="20" t="s">
        <v>11</v>
      </c>
      <c r="O23" s="20" t="s">
        <v>17</v>
      </c>
    </row>
    <row r="24" customFormat="false" ht="23.85" hidden="false" customHeight="false" outlineLevel="0" collapsed="false">
      <c r="A24" s="20" t="s">
        <v>9</v>
      </c>
      <c r="B24" s="20" t="s">
        <v>5</v>
      </c>
      <c r="C24" s="20" t="s">
        <v>67</v>
      </c>
      <c r="D24" s="24" t="s">
        <v>147</v>
      </c>
      <c r="E24" s="21" t="n">
        <v>29763217</v>
      </c>
      <c r="F24" s="25" t="s">
        <v>115</v>
      </c>
      <c r="G24" s="25" t="s">
        <v>116</v>
      </c>
      <c r="H24" s="25" t="s">
        <v>117</v>
      </c>
      <c r="I24" s="25" t="s">
        <v>118</v>
      </c>
      <c r="J24" s="25" t="s">
        <v>118</v>
      </c>
      <c r="K24" s="20" t="s">
        <v>119</v>
      </c>
      <c r="L24" s="24" t="s">
        <v>148</v>
      </c>
      <c r="M24" s="24" t="s">
        <v>149</v>
      </c>
      <c r="N24" s="20" t="s">
        <v>10</v>
      </c>
      <c r="O24" s="20" t="s">
        <v>10</v>
      </c>
    </row>
    <row r="25" customFormat="false" ht="35.05" hidden="false" customHeight="false" outlineLevel="0" collapsed="false">
      <c r="A25" s="20" t="s">
        <v>9</v>
      </c>
      <c r="B25" s="20" t="s">
        <v>5</v>
      </c>
      <c r="C25" s="20" t="s">
        <v>67</v>
      </c>
      <c r="D25" s="24" t="s">
        <v>11</v>
      </c>
      <c r="E25" s="21" t="n">
        <v>17086817</v>
      </c>
      <c r="F25" s="25" t="s">
        <v>126</v>
      </c>
      <c r="G25" s="25" t="s">
        <v>127</v>
      </c>
      <c r="H25" s="25" t="s">
        <v>117</v>
      </c>
      <c r="I25" s="25" t="s">
        <v>117</v>
      </c>
      <c r="J25" s="25" t="s">
        <v>117</v>
      </c>
      <c r="K25" s="20" t="s">
        <v>128</v>
      </c>
      <c r="L25" s="24" t="s">
        <v>150</v>
      </c>
      <c r="M25" s="24" t="s">
        <v>149</v>
      </c>
      <c r="N25" s="20" t="s">
        <v>11</v>
      </c>
      <c r="O25" s="20" t="s">
        <v>17</v>
      </c>
    </row>
    <row r="26" customFormat="false" ht="23.85" hidden="false" customHeight="false" outlineLevel="0" collapsed="false">
      <c r="A26" s="20" t="s">
        <v>9</v>
      </c>
      <c r="B26" s="20" t="s">
        <v>6</v>
      </c>
      <c r="C26" s="20" t="s">
        <v>67</v>
      </c>
      <c r="D26" s="24" t="s">
        <v>147</v>
      </c>
      <c r="E26" s="21" t="n">
        <v>28787675</v>
      </c>
      <c r="F26" s="25" t="s">
        <v>115</v>
      </c>
      <c r="G26" s="25" t="s">
        <v>116</v>
      </c>
      <c r="H26" s="25" t="s">
        <v>117</v>
      </c>
      <c r="I26" s="25" t="s">
        <v>118</v>
      </c>
      <c r="J26" s="25" t="s">
        <v>118</v>
      </c>
      <c r="K26" s="20" t="s">
        <v>119</v>
      </c>
      <c r="L26" s="24" t="s">
        <v>148</v>
      </c>
      <c r="M26" s="24" t="s">
        <v>151</v>
      </c>
      <c r="N26" s="20" t="s">
        <v>10</v>
      </c>
      <c r="O26" s="20" t="s">
        <v>10</v>
      </c>
    </row>
    <row r="27" customFormat="false" ht="35.05" hidden="false" customHeight="false" outlineLevel="0" collapsed="false">
      <c r="A27" s="20" t="s">
        <v>9</v>
      </c>
      <c r="B27" s="20" t="s">
        <v>6</v>
      </c>
      <c r="C27" s="20" t="s">
        <v>67</v>
      </c>
      <c r="D27" s="24" t="s">
        <v>11</v>
      </c>
      <c r="E27" s="21" t="n">
        <v>17127723</v>
      </c>
      <c r="F27" s="25" t="s">
        <v>126</v>
      </c>
      <c r="G27" s="25" t="s">
        <v>127</v>
      </c>
      <c r="H27" s="25" t="s">
        <v>117</v>
      </c>
      <c r="I27" s="25" t="s">
        <v>117</v>
      </c>
      <c r="J27" s="25" t="s">
        <v>117</v>
      </c>
      <c r="K27" s="20" t="s">
        <v>128</v>
      </c>
      <c r="L27" s="24" t="s">
        <v>150</v>
      </c>
      <c r="M27" s="24" t="s">
        <v>151</v>
      </c>
      <c r="N27" s="20" t="s">
        <v>11</v>
      </c>
      <c r="O27" s="20" t="s">
        <v>17</v>
      </c>
    </row>
    <row r="28" customFormat="false" ht="23.85" hidden="false" customHeight="false" outlineLevel="0" collapsed="false">
      <c r="A28" s="20" t="s">
        <v>9</v>
      </c>
      <c r="B28" s="20" t="s">
        <v>6</v>
      </c>
      <c r="C28" s="20" t="s">
        <v>67</v>
      </c>
      <c r="D28" s="24" t="s">
        <v>152</v>
      </c>
      <c r="E28" s="21" t="n">
        <v>2000000</v>
      </c>
      <c r="F28" s="25" t="s">
        <v>153</v>
      </c>
      <c r="G28" s="25" t="s">
        <v>116</v>
      </c>
      <c r="H28" s="25" t="s">
        <v>118</v>
      </c>
      <c r="I28" s="25" t="s">
        <v>118</v>
      </c>
      <c r="J28" s="25" t="s">
        <v>117</v>
      </c>
      <c r="K28" s="20" t="s">
        <v>154</v>
      </c>
      <c r="L28" s="24" t="s">
        <v>155</v>
      </c>
      <c r="M28" s="24" t="s">
        <v>151</v>
      </c>
      <c r="N28" s="20" t="s">
        <v>11</v>
      </c>
      <c r="O28" s="20" t="s">
        <v>18</v>
      </c>
    </row>
    <row r="29" customFormat="false" ht="23.85" hidden="false" customHeight="false" outlineLevel="0" collapsed="false">
      <c r="A29" s="20" t="s">
        <v>9</v>
      </c>
      <c r="B29" s="20" t="s">
        <v>7</v>
      </c>
      <c r="C29" s="20" t="s">
        <v>67</v>
      </c>
      <c r="D29" s="24" t="s">
        <v>147</v>
      </c>
      <c r="E29" s="21" t="n">
        <v>14095458</v>
      </c>
      <c r="F29" s="25" t="s">
        <v>115</v>
      </c>
      <c r="G29" s="25" t="s">
        <v>116</v>
      </c>
      <c r="H29" s="25" t="s">
        <v>117</v>
      </c>
      <c r="I29" s="25" t="s">
        <v>118</v>
      </c>
      <c r="J29" s="25" t="s">
        <v>118</v>
      </c>
      <c r="K29" s="20" t="s">
        <v>119</v>
      </c>
      <c r="L29" s="24" t="s">
        <v>148</v>
      </c>
      <c r="M29" s="24" t="s">
        <v>156</v>
      </c>
      <c r="N29" s="20" t="s">
        <v>10</v>
      </c>
      <c r="O29" s="20" t="s">
        <v>10</v>
      </c>
    </row>
    <row r="30" customFormat="false" ht="35.05" hidden="false" customHeight="false" outlineLevel="0" collapsed="false">
      <c r="A30" s="20" t="s">
        <v>9</v>
      </c>
      <c r="B30" s="20" t="s">
        <v>7</v>
      </c>
      <c r="C30" s="20" t="s">
        <v>67</v>
      </c>
      <c r="D30" s="24" t="s">
        <v>11</v>
      </c>
      <c r="E30" s="21" t="n">
        <v>8141775</v>
      </c>
      <c r="F30" s="25" t="s">
        <v>126</v>
      </c>
      <c r="G30" s="25" t="s">
        <v>127</v>
      </c>
      <c r="H30" s="25" t="s">
        <v>117</v>
      </c>
      <c r="I30" s="25" t="s">
        <v>117</v>
      </c>
      <c r="J30" s="25" t="s">
        <v>117</v>
      </c>
      <c r="K30" s="20" t="s">
        <v>128</v>
      </c>
      <c r="L30" s="24" t="s">
        <v>150</v>
      </c>
      <c r="M30" s="24" t="s">
        <v>156</v>
      </c>
      <c r="N30" s="20" t="s">
        <v>11</v>
      </c>
      <c r="O30" s="20" t="s">
        <v>17</v>
      </c>
    </row>
    <row r="31" customFormat="false" ht="23.85" hidden="false" customHeight="false" outlineLevel="0" collapsed="false">
      <c r="A31" s="20" t="s">
        <v>9</v>
      </c>
      <c r="B31" s="20" t="s">
        <v>7</v>
      </c>
      <c r="C31" s="20" t="s">
        <v>67</v>
      </c>
      <c r="D31" s="24" t="s">
        <v>152</v>
      </c>
      <c r="E31" s="21" t="n">
        <v>2000000</v>
      </c>
      <c r="F31" s="25" t="s">
        <v>153</v>
      </c>
      <c r="G31" s="25" t="s">
        <v>116</v>
      </c>
      <c r="H31" s="25" t="s">
        <v>118</v>
      </c>
      <c r="I31" s="25" t="s">
        <v>118</v>
      </c>
      <c r="J31" s="25" t="s">
        <v>117</v>
      </c>
      <c r="K31" s="20" t="s">
        <v>154</v>
      </c>
      <c r="L31" s="24" t="s">
        <v>155</v>
      </c>
      <c r="M31" s="24" t="s">
        <v>156</v>
      </c>
      <c r="N31" s="20" t="s">
        <v>11</v>
      </c>
      <c r="O31" s="20" t="s">
        <v>18</v>
      </c>
    </row>
    <row r="32" customFormat="false" ht="23.85" hidden="false" customHeight="false" outlineLevel="0" collapsed="false">
      <c r="A32" s="20" t="s">
        <v>9</v>
      </c>
      <c r="B32" s="20" t="s">
        <v>8</v>
      </c>
      <c r="C32" s="20" t="s">
        <v>67</v>
      </c>
      <c r="D32" s="24" t="s">
        <v>147</v>
      </c>
      <c r="E32" s="21" t="n">
        <v>12596474</v>
      </c>
      <c r="F32" s="25" t="s">
        <v>115</v>
      </c>
      <c r="G32" s="25" t="s">
        <v>116</v>
      </c>
      <c r="H32" s="25" t="s">
        <v>117</v>
      </c>
      <c r="I32" s="25" t="s">
        <v>118</v>
      </c>
      <c r="J32" s="25" t="s">
        <v>118</v>
      </c>
      <c r="K32" s="20" t="s">
        <v>119</v>
      </c>
      <c r="L32" s="24" t="s">
        <v>148</v>
      </c>
      <c r="M32" s="24" t="s">
        <v>156</v>
      </c>
      <c r="N32" s="20" t="s">
        <v>10</v>
      </c>
      <c r="O32" s="20" t="s">
        <v>10</v>
      </c>
    </row>
    <row r="33" customFormat="false" ht="35.05" hidden="false" customHeight="false" outlineLevel="0" collapsed="false">
      <c r="A33" s="20" t="s">
        <v>9</v>
      </c>
      <c r="B33" s="20" t="s">
        <v>8</v>
      </c>
      <c r="C33" s="20" t="s">
        <v>67</v>
      </c>
      <c r="D33" s="24" t="s">
        <v>11</v>
      </c>
      <c r="E33" s="21" t="n">
        <v>7990951</v>
      </c>
      <c r="F33" s="25" t="s">
        <v>126</v>
      </c>
      <c r="G33" s="25" t="s">
        <v>127</v>
      </c>
      <c r="H33" s="25" t="s">
        <v>117</v>
      </c>
      <c r="I33" s="25" t="s">
        <v>117</v>
      </c>
      <c r="J33" s="25" t="s">
        <v>117</v>
      </c>
      <c r="K33" s="20" t="s">
        <v>128</v>
      </c>
      <c r="L33" s="24" t="s">
        <v>150</v>
      </c>
      <c r="M33" s="24" t="s">
        <v>156</v>
      </c>
      <c r="N33" s="20" t="s">
        <v>11</v>
      </c>
      <c r="O33" s="20" t="s">
        <v>17</v>
      </c>
    </row>
    <row r="34" customFormat="false" ht="23.85" hidden="false" customHeight="false" outlineLevel="0" collapsed="false">
      <c r="A34" s="20" t="s">
        <v>9</v>
      </c>
      <c r="B34" s="20" t="s">
        <v>8</v>
      </c>
      <c r="C34" s="20" t="s">
        <v>67</v>
      </c>
      <c r="D34" s="24" t="s">
        <v>152</v>
      </c>
      <c r="E34" s="21" t="n">
        <v>1703714</v>
      </c>
      <c r="F34" s="25" t="s">
        <v>153</v>
      </c>
      <c r="G34" s="25" t="s">
        <v>116</v>
      </c>
      <c r="H34" s="25" t="s">
        <v>118</v>
      </c>
      <c r="I34" s="25" t="s">
        <v>118</v>
      </c>
      <c r="J34" s="25" t="s">
        <v>117</v>
      </c>
      <c r="K34" s="20" t="s">
        <v>154</v>
      </c>
      <c r="L34" s="24" t="s">
        <v>155</v>
      </c>
      <c r="M34" s="24" t="s">
        <v>156</v>
      </c>
      <c r="N34" s="20" t="s">
        <v>11</v>
      </c>
      <c r="O34" s="20" t="s">
        <v>18</v>
      </c>
    </row>
    <row r="35" customFormat="false" ht="23.85" hidden="false" customHeight="false" outlineLevel="0" collapsed="false">
      <c r="A35" s="20" t="s">
        <v>14</v>
      </c>
      <c r="B35" s="20" t="s">
        <v>7</v>
      </c>
      <c r="C35" s="20" t="s">
        <v>67</v>
      </c>
      <c r="D35" s="24" t="s">
        <v>132</v>
      </c>
      <c r="E35" s="21" t="n">
        <v>36244158</v>
      </c>
      <c r="F35" s="25" t="s">
        <v>115</v>
      </c>
      <c r="G35" s="25" t="s">
        <v>116</v>
      </c>
      <c r="H35" s="25" t="s">
        <v>117</v>
      </c>
      <c r="I35" s="25" t="s">
        <v>118</v>
      </c>
      <c r="J35" s="25" t="s">
        <v>118</v>
      </c>
      <c r="K35" s="20" t="s">
        <v>133</v>
      </c>
      <c r="L35" s="24" t="s">
        <v>134</v>
      </c>
      <c r="M35" s="24" t="s">
        <v>157</v>
      </c>
      <c r="N35" s="20" t="s">
        <v>10</v>
      </c>
      <c r="O35" s="20" t="s">
        <v>10</v>
      </c>
    </row>
    <row r="36" customFormat="false" ht="23.85" hidden="false" customHeight="false" outlineLevel="0" collapsed="false">
      <c r="A36" s="20" t="s">
        <v>14</v>
      </c>
      <c r="B36" s="20" t="s">
        <v>7</v>
      </c>
      <c r="C36" s="20" t="s">
        <v>67</v>
      </c>
      <c r="D36" s="24" t="s">
        <v>136</v>
      </c>
      <c r="E36" s="21" t="n">
        <v>14954549</v>
      </c>
      <c r="F36" s="25" t="s">
        <v>126</v>
      </c>
      <c r="G36" s="25" t="s">
        <v>116</v>
      </c>
      <c r="H36" s="25" t="s">
        <v>118</v>
      </c>
      <c r="I36" s="25" t="s">
        <v>117</v>
      </c>
      <c r="J36" s="25" t="s">
        <v>118</v>
      </c>
      <c r="K36" s="20" t="s">
        <v>137</v>
      </c>
      <c r="L36" s="24" t="s">
        <v>138</v>
      </c>
      <c r="M36" s="24" t="s">
        <v>157</v>
      </c>
      <c r="N36" s="20" t="s">
        <v>11</v>
      </c>
      <c r="O36" s="20" t="s">
        <v>17</v>
      </c>
    </row>
    <row r="37" customFormat="false" ht="23.85" hidden="false" customHeight="false" outlineLevel="0" collapsed="false">
      <c r="A37" s="20" t="s">
        <v>14</v>
      </c>
      <c r="B37" s="20" t="s">
        <v>7</v>
      </c>
      <c r="C37" s="20" t="s">
        <v>67</v>
      </c>
      <c r="D37" s="24" t="s">
        <v>139</v>
      </c>
      <c r="E37" s="21" t="n">
        <v>3350704</v>
      </c>
      <c r="F37" s="25" t="s">
        <v>115</v>
      </c>
      <c r="G37" s="25" t="s">
        <v>116</v>
      </c>
      <c r="H37" s="25" t="s">
        <v>117</v>
      </c>
      <c r="I37" s="25" t="s">
        <v>118</v>
      </c>
      <c r="J37" s="25" t="s">
        <v>118</v>
      </c>
      <c r="K37" s="20" t="s">
        <v>140</v>
      </c>
      <c r="L37" s="24" t="s">
        <v>141</v>
      </c>
      <c r="M37" s="24" t="s">
        <v>157</v>
      </c>
      <c r="N37" s="20" t="s">
        <v>10</v>
      </c>
      <c r="O37" s="20" t="s">
        <v>10</v>
      </c>
    </row>
    <row r="38" customFormat="false" ht="23.85" hidden="false" customHeight="false" outlineLevel="0" collapsed="false">
      <c r="A38" s="20" t="s">
        <v>14</v>
      </c>
      <c r="B38" s="20" t="s">
        <v>88</v>
      </c>
      <c r="C38" s="20" t="s">
        <v>67</v>
      </c>
      <c r="D38" s="24" t="s">
        <v>132</v>
      </c>
      <c r="E38" s="21" t="n">
        <v>22647735</v>
      </c>
      <c r="F38" s="25" t="s">
        <v>115</v>
      </c>
      <c r="G38" s="25" t="s">
        <v>116</v>
      </c>
      <c r="H38" s="25" t="s">
        <v>117</v>
      </c>
      <c r="I38" s="25" t="s">
        <v>118</v>
      </c>
      <c r="J38" s="25" t="s">
        <v>118</v>
      </c>
      <c r="K38" s="20" t="s">
        <v>133</v>
      </c>
      <c r="L38" s="24" t="s">
        <v>134</v>
      </c>
      <c r="M38" s="24" t="s">
        <v>158</v>
      </c>
      <c r="N38" s="20" t="s">
        <v>10</v>
      </c>
      <c r="O38" s="20" t="s">
        <v>10</v>
      </c>
    </row>
    <row r="39" customFormat="false" ht="23.85" hidden="false" customHeight="false" outlineLevel="0" collapsed="false">
      <c r="A39" s="20" t="s">
        <v>14</v>
      </c>
      <c r="B39" s="20" t="s">
        <v>88</v>
      </c>
      <c r="C39" s="20" t="s">
        <v>67</v>
      </c>
      <c r="D39" s="24" t="s">
        <v>136</v>
      </c>
      <c r="E39" s="21" t="n">
        <v>5509634</v>
      </c>
      <c r="F39" s="25" t="s">
        <v>126</v>
      </c>
      <c r="G39" s="25" t="s">
        <v>116</v>
      </c>
      <c r="H39" s="25" t="s">
        <v>118</v>
      </c>
      <c r="I39" s="25" t="s">
        <v>117</v>
      </c>
      <c r="J39" s="25" t="s">
        <v>118</v>
      </c>
      <c r="K39" s="20" t="s">
        <v>137</v>
      </c>
      <c r="L39" s="24" t="s">
        <v>138</v>
      </c>
      <c r="M39" s="24" t="s">
        <v>158</v>
      </c>
      <c r="N39" s="20" t="s">
        <v>11</v>
      </c>
      <c r="O39" s="20" t="s">
        <v>17</v>
      </c>
    </row>
    <row r="40" customFormat="false" ht="23.85" hidden="false" customHeight="false" outlineLevel="0" collapsed="false">
      <c r="A40" s="20" t="s">
        <v>14</v>
      </c>
      <c r="B40" s="20" t="s">
        <v>88</v>
      </c>
      <c r="C40" s="20" t="s">
        <v>67</v>
      </c>
      <c r="D40" s="24" t="s">
        <v>139</v>
      </c>
      <c r="E40" s="21" t="n">
        <v>2197367</v>
      </c>
      <c r="F40" s="25" t="s">
        <v>115</v>
      </c>
      <c r="G40" s="25" t="s">
        <v>116</v>
      </c>
      <c r="H40" s="25" t="s">
        <v>117</v>
      </c>
      <c r="I40" s="25" t="s">
        <v>118</v>
      </c>
      <c r="J40" s="25" t="s">
        <v>118</v>
      </c>
      <c r="K40" s="20" t="s">
        <v>140</v>
      </c>
      <c r="L40" s="24" t="s">
        <v>141</v>
      </c>
      <c r="M40" s="24" t="s">
        <v>158</v>
      </c>
      <c r="N40" s="20" t="s">
        <v>10</v>
      </c>
      <c r="O40" s="20" t="s">
        <v>10</v>
      </c>
    </row>
    <row r="41" customFormat="false" ht="23.85" hidden="false" customHeight="false" outlineLevel="0" collapsed="false">
      <c r="A41" s="20" t="s">
        <v>14</v>
      </c>
      <c r="B41" s="20" t="s">
        <v>8</v>
      </c>
      <c r="C41" s="20" t="s">
        <v>67</v>
      </c>
      <c r="D41" s="24" t="s">
        <v>132</v>
      </c>
      <c r="E41" s="21" t="n">
        <v>42107628</v>
      </c>
      <c r="F41" s="25" t="s">
        <v>115</v>
      </c>
      <c r="G41" s="25" t="s">
        <v>116</v>
      </c>
      <c r="H41" s="25" t="s">
        <v>117</v>
      </c>
      <c r="I41" s="25" t="s">
        <v>118</v>
      </c>
      <c r="J41" s="25" t="s">
        <v>118</v>
      </c>
      <c r="K41" s="20" t="s">
        <v>133</v>
      </c>
      <c r="L41" s="24" t="s">
        <v>134</v>
      </c>
      <c r="M41" s="24" t="s">
        <v>157</v>
      </c>
      <c r="N41" s="20" t="s">
        <v>10</v>
      </c>
      <c r="O41" s="20" t="s">
        <v>10</v>
      </c>
    </row>
    <row r="42" customFormat="false" ht="23.85" hidden="false" customHeight="false" outlineLevel="0" collapsed="false">
      <c r="A42" s="20" t="s">
        <v>14</v>
      </c>
      <c r="B42" s="20" t="s">
        <v>8</v>
      </c>
      <c r="C42" s="20" t="s">
        <v>67</v>
      </c>
      <c r="D42" s="24" t="s">
        <v>136</v>
      </c>
      <c r="E42" s="21" t="n">
        <v>10103933</v>
      </c>
      <c r="F42" s="25" t="s">
        <v>126</v>
      </c>
      <c r="G42" s="25" t="s">
        <v>116</v>
      </c>
      <c r="H42" s="25" t="s">
        <v>118</v>
      </c>
      <c r="I42" s="25" t="s">
        <v>117</v>
      </c>
      <c r="J42" s="25" t="s">
        <v>118</v>
      </c>
      <c r="K42" s="20" t="s">
        <v>137</v>
      </c>
      <c r="L42" s="24" t="s">
        <v>138</v>
      </c>
      <c r="M42" s="24" t="s">
        <v>157</v>
      </c>
      <c r="N42" s="20" t="s">
        <v>11</v>
      </c>
      <c r="O42" s="20" t="s">
        <v>17</v>
      </c>
    </row>
    <row r="43" customFormat="false" ht="23.85" hidden="false" customHeight="false" outlineLevel="0" collapsed="false">
      <c r="A43" s="20" t="s">
        <v>14</v>
      </c>
      <c r="B43" s="20" t="s">
        <v>8</v>
      </c>
      <c r="C43" s="20" t="s">
        <v>67</v>
      </c>
      <c r="D43" s="24" t="s">
        <v>139</v>
      </c>
      <c r="E43" s="21" t="n">
        <v>4223409</v>
      </c>
      <c r="F43" s="25" t="s">
        <v>115</v>
      </c>
      <c r="G43" s="25" t="s">
        <v>116</v>
      </c>
      <c r="H43" s="25" t="s">
        <v>117</v>
      </c>
      <c r="I43" s="25" t="s">
        <v>118</v>
      </c>
      <c r="J43" s="25" t="s">
        <v>118</v>
      </c>
      <c r="K43" s="20" t="s">
        <v>140</v>
      </c>
      <c r="L43" s="24" t="s">
        <v>141</v>
      </c>
      <c r="M43" s="24" t="s">
        <v>157</v>
      </c>
      <c r="N43" s="20" t="s">
        <v>10</v>
      </c>
      <c r="O43" s="20" t="s">
        <v>10</v>
      </c>
    </row>
    <row r="44" customFormat="false" ht="15" hidden="false" customHeight="false" outlineLevel="0" collapsed="false">
      <c r="A44" s="20" t="s">
        <v>15</v>
      </c>
      <c r="B44" s="20" t="s">
        <v>7</v>
      </c>
      <c r="C44" s="20" t="s">
        <v>67</v>
      </c>
      <c r="D44" s="24" t="s">
        <v>142</v>
      </c>
      <c r="E44" s="21" t="n">
        <v>33494199</v>
      </c>
      <c r="F44" s="25" t="s">
        <v>115</v>
      </c>
      <c r="G44" s="25" t="s">
        <v>116</v>
      </c>
      <c r="H44" s="25" t="s">
        <v>117</v>
      </c>
      <c r="I44" s="25" t="s">
        <v>118</v>
      </c>
      <c r="J44" s="25" t="s">
        <v>118</v>
      </c>
      <c r="K44" s="20" t="s">
        <v>119</v>
      </c>
      <c r="L44" s="24" t="s">
        <v>143</v>
      </c>
      <c r="M44" s="24" t="s">
        <v>159</v>
      </c>
      <c r="N44" s="20" t="s">
        <v>10</v>
      </c>
      <c r="O44" s="20" t="s">
        <v>10</v>
      </c>
    </row>
    <row r="45" customFormat="false" ht="35.05" hidden="false" customHeight="false" outlineLevel="0" collapsed="false">
      <c r="A45" s="20" t="s">
        <v>15</v>
      </c>
      <c r="B45" s="20" t="s">
        <v>7</v>
      </c>
      <c r="C45" s="20" t="s">
        <v>67</v>
      </c>
      <c r="D45" s="24" t="s">
        <v>145</v>
      </c>
      <c r="E45" s="21" t="n">
        <v>1732348</v>
      </c>
      <c r="F45" s="25" t="s">
        <v>126</v>
      </c>
      <c r="G45" s="25" t="s">
        <v>127</v>
      </c>
      <c r="H45" s="25" t="s">
        <v>117</v>
      </c>
      <c r="I45" s="25" t="s">
        <v>117</v>
      </c>
      <c r="J45" s="25" t="s">
        <v>117</v>
      </c>
      <c r="K45" s="20" t="s">
        <v>128</v>
      </c>
      <c r="L45" s="24" t="s">
        <v>146</v>
      </c>
      <c r="M45" s="24" t="s">
        <v>159</v>
      </c>
      <c r="N45" s="20" t="s">
        <v>11</v>
      </c>
      <c r="O45" s="20" t="s">
        <v>17</v>
      </c>
    </row>
    <row r="46" customFormat="false" ht="15" hidden="false" customHeight="false" outlineLevel="0" collapsed="false">
      <c r="A46" s="20" t="s">
        <v>15</v>
      </c>
      <c r="B46" s="20" t="s">
        <v>88</v>
      </c>
      <c r="C46" s="20" t="s">
        <v>67</v>
      </c>
      <c r="D46" s="24" t="s">
        <v>142</v>
      </c>
      <c r="E46" s="21" t="n">
        <v>13733801</v>
      </c>
      <c r="F46" s="25" t="s">
        <v>115</v>
      </c>
      <c r="G46" s="25" t="s">
        <v>116</v>
      </c>
      <c r="H46" s="25" t="s">
        <v>117</v>
      </c>
      <c r="I46" s="25" t="s">
        <v>118</v>
      </c>
      <c r="J46" s="25" t="s">
        <v>118</v>
      </c>
      <c r="K46" s="20" t="s">
        <v>119</v>
      </c>
      <c r="L46" s="24" t="s">
        <v>143</v>
      </c>
      <c r="M46" s="24" t="s">
        <v>160</v>
      </c>
      <c r="N46" s="20" t="s">
        <v>10</v>
      </c>
      <c r="O46" s="20" t="s">
        <v>10</v>
      </c>
    </row>
    <row r="47" customFormat="false" ht="35.05" hidden="false" customHeight="false" outlineLevel="0" collapsed="false">
      <c r="A47" s="20" t="s">
        <v>15</v>
      </c>
      <c r="B47" s="20" t="s">
        <v>88</v>
      </c>
      <c r="C47" s="20" t="s">
        <v>67</v>
      </c>
      <c r="D47" s="24" t="s">
        <v>145</v>
      </c>
      <c r="E47" s="21" t="n">
        <v>1373833</v>
      </c>
      <c r="F47" s="25" t="s">
        <v>126</v>
      </c>
      <c r="G47" s="25" t="s">
        <v>127</v>
      </c>
      <c r="H47" s="25" t="s">
        <v>117</v>
      </c>
      <c r="I47" s="25" t="s">
        <v>117</v>
      </c>
      <c r="J47" s="25" t="s">
        <v>117</v>
      </c>
      <c r="K47" s="20" t="s">
        <v>128</v>
      </c>
      <c r="L47" s="24" t="s">
        <v>146</v>
      </c>
      <c r="M47" s="24" t="s">
        <v>160</v>
      </c>
      <c r="N47" s="20" t="s">
        <v>11</v>
      </c>
      <c r="O47" s="20" t="s">
        <v>17</v>
      </c>
    </row>
    <row r="48" customFormat="false" ht="15" hidden="false" customHeight="false" outlineLevel="0" collapsed="false">
      <c r="A48" s="20" t="s">
        <v>15</v>
      </c>
      <c r="B48" s="20" t="s">
        <v>8</v>
      </c>
      <c r="C48" s="20" t="s">
        <v>67</v>
      </c>
      <c r="D48" s="24" t="s">
        <v>142</v>
      </c>
      <c r="E48" s="21" t="n">
        <v>32933666</v>
      </c>
      <c r="F48" s="25" t="s">
        <v>115</v>
      </c>
      <c r="G48" s="25" t="s">
        <v>116</v>
      </c>
      <c r="H48" s="25" t="s">
        <v>117</v>
      </c>
      <c r="I48" s="25" t="s">
        <v>118</v>
      </c>
      <c r="J48" s="25" t="s">
        <v>118</v>
      </c>
      <c r="K48" s="20" t="s">
        <v>119</v>
      </c>
      <c r="L48" s="24" t="s">
        <v>143</v>
      </c>
      <c r="M48" s="24" t="s">
        <v>159</v>
      </c>
      <c r="N48" s="20" t="s">
        <v>10</v>
      </c>
      <c r="O48" s="20" t="s">
        <v>10</v>
      </c>
    </row>
    <row r="49" customFormat="false" ht="35.05" hidden="false" customHeight="false" outlineLevel="0" collapsed="false">
      <c r="A49" s="20" t="s">
        <v>15</v>
      </c>
      <c r="B49" s="20" t="s">
        <v>8</v>
      </c>
      <c r="C49" s="20" t="s">
        <v>67</v>
      </c>
      <c r="D49" s="24" t="s">
        <v>145</v>
      </c>
      <c r="E49" s="21" t="n">
        <v>3297691</v>
      </c>
      <c r="F49" s="25" t="s">
        <v>126</v>
      </c>
      <c r="G49" s="25" t="s">
        <v>127</v>
      </c>
      <c r="H49" s="25" t="s">
        <v>117</v>
      </c>
      <c r="I49" s="25" t="s">
        <v>117</v>
      </c>
      <c r="J49" s="25" t="s">
        <v>117</v>
      </c>
      <c r="K49" s="20" t="s">
        <v>128</v>
      </c>
      <c r="L49" s="24" t="s">
        <v>146</v>
      </c>
      <c r="M49" s="24" t="s">
        <v>159</v>
      </c>
      <c r="N49" s="20" t="s">
        <v>11</v>
      </c>
      <c r="O49" s="20" t="s">
        <v>17</v>
      </c>
    </row>
    <row r="51" customFormat="false" ht="15" hidden="false" customHeight="false" outlineLevel="0" collapsed="false">
      <c r="A51" s="13" t="s">
        <v>161</v>
      </c>
    </row>
    <row r="52" customFormat="false" ht="15" hidden="false" customHeight="false" outlineLevel="0" collapsed="false">
      <c r="A52" s="13" t="s">
        <v>162</v>
      </c>
    </row>
  </sheetData>
  <dataValidations count="3">
    <dataValidation allowBlank="false" errorStyle="stop" operator="between" showDropDown="false" showErrorMessage="false" showInputMessage="false" sqref="F2:F49" type="list">
      <formula1>"Audiencias,Contenidos,Fuera de Napoli"</formula1>
      <formula2>0</formula2>
    </dataValidation>
    <dataValidation allowBlank="false" errorStyle="stop" operator="between" showDropDown="false" showErrorMessage="false" showInputMessage="false" sqref="G2:G49" type="list">
      <formula1>"Pura,Mixta"</formula1>
      <formula2>0</formula2>
    </dataValidation>
    <dataValidation allowBlank="false" errorStyle="stop" operator="between" showDropDown="false" showErrorMessage="false" showInputMessage="false" sqref="H2:J49" type="list">
      <formula1>"S,N"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8"/>
    <col collapsed="false" customWidth="true" hidden="false" outlineLevel="0" max="24" min="4" style="0" width="12"/>
  </cols>
  <sheetData>
    <row r="1" customFormat="false" ht="45" hidden="false" customHeight="true" outlineLevel="0" collapsed="false">
      <c r="A1" s="26" t="s">
        <v>3</v>
      </c>
      <c r="B1" s="26" t="s">
        <v>53</v>
      </c>
      <c r="C1" s="26" t="s">
        <v>65</v>
      </c>
      <c r="D1" s="26" t="s">
        <v>163</v>
      </c>
      <c r="E1" s="26" t="s">
        <v>164</v>
      </c>
      <c r="F1" s="26" t="s">
        <v>165</v>
      </c>
      <c r="G1" s="26" t="s">
        <v>166</v>
      </c>
      <c r="H1" s="26" t="s">
        <v>167</v>
      </c>
      <c r="I1" s="26" t="s">
        <v>168</v>
      </c>
      <c r="J1" s="26" t="s">
        <v>169</v>
      </c>
      <c r="K1" s="26" t="s">
        <v>170</v>
      </c>
      <c r="L1" s="26" t="s">
        <v>171</v>
      </c>
      <c r="M1" s="26" t="s">
        <v>172</v>
      </c>
      <c r="N1" s="26" t="s">
        <v>173</v>
      </c>
      <c r="O1" s="26" t="s">
        <v>174</v>
      </c>
      <c r="P1" s="26" t="s">
        <v>175</v>
      </c>
      <c r="Q1" s="26" t="s">
        <v>176</v>
      </c>
      <c r="R1" s="26" t="s">
        <v>177</v>
      </c>
      <c r="S1" s="26" t="s">
        <v>178</v>
      </c>
      <c r="T1" s="26" t="s">
        <v>179</v>
      </c>
      <c r="U1" s="26" t="s">
        <v>180</v>
      </c>
      <c r="V1" s="26" t="s">
        <v>181</v>
      </c>
      <c r="W1" s="26" t="s">
        <v>182</v>
      </c>
      <c r="X1" s="26" t="s">
        <v>183</v>
      </c>
    </row>
    <row r="2" customFormat="false" ht="15" hidden="false" customHeight="false" outlineLevel="0" collapsed="false">
      <c r="A2" s="7" t="s">
        <v>13</v>
      </c>
      <c r="B2" s="7" t="s">
        <v>5</v>
      </c>
      <c r="C2" s="7" t="s">
        <v>67</v>
      </c>
      <c r="D2" s="27" t="n">
        <f aca="false">SUMIFS('Líneas codificadas'!$E$2:$E$49,'Líneas codificadas'!$A$2:$A$49,$A2,'Líneas codificadas'!$B$2:$B$49,$B2)</f>
        <v>78910289</v>
      </c>
      <c r="E2" s="27" t="n">
        <f aca="false">SUMIFS('Líneas codificadas'!$E$2:$E$49,'Líneas codificadas'!$A$2:$A$49,$A2,'Líneas codificadas'!$B$2:$B$49,$B2,'Líneas codificadas'!$F$2:$F$49,"Audiencias",'Líneas codificadas'!$G$2:$G$49,"Pura")</f>
        <v>59944830</v>
      </c>
      <c r="F2" s="27" t="n">
        <f aca="false">SUMIFS('Líneas codificadas'!$E$2:$E$49,'Líneas codificadas'!$A$2:$A$49,$A2,'Líneas codificadas'!$B$2:$B$49,$B2,'Líneas codificadas'!$H$2:$H$49,"S")</f>
        <v>59944830</v>
      </c>
      <c r="G2" s="27" t="n">
        <f aca="false">SUMIFS('Líneas codificadas'!$E$2:$E$49,'Líneas codificadas'!$A$2:$A$49,$A2,'Líneas codificadas'!$B$2:$B$49,$B2,'Líneas codificadas'!$F$2:$F$49,"Contenidos",'Líneas codificadas'!$G$2:$G$49,"Pura")</f>
        <v>0</v>
      </c>
      <c r="H2" s="27" t="n">
        <f aca="false">SUMIFS('Líneas codificadas'!$E$2:$E$49,'Líneas codificadas'!$A$2:$A$49,$A2,'Líneas codificadas'!$B$2:$B$49,$B2,'Líneas codificadas'!$I$2:$I$49,"S")</f>
        <v>18965459</v>
      </c>
      <c r="I2" s="27" t="n">
        <f aca="false">SUMIFS('Líneas codificadas'!$E$2:$E$49,'Líneas codificadas'!$A$2:$A$49,$A2,'Líneas codificadas'!$B$2:$B$49,$B2,'Líneas codificadas'!$F$2:$F$49,"Fuera de Napoli",'Líneas codificadas'!$G$2:$G$49,"Pura")</f>
        <v>0</v>
      </c>
      <c r="J2" s="27" t="n">
        <f aca="false">SUMIFS('Líneas codificadas'!$E$2:$E$49,'Líneas codificadas'!$A$2:$A$49,$A2,'Líneas codificadas'!$B$2:$B$49,$B2,'Líneas codificadas'!$J$2:$J$49,"S")</f>
        <v>18965459</v>
      </c>
      <c r="K2" s="27" t="n">
        <f aca="false">SUMIFS('Líneas codificadas'!$E$2:$E$49,'Líneas codificadas'!$A$2:$A$49,$A2,'Líneas codificadas'!$B$2:$B$49,$B2,'Líneas codificadas'!$F$2:$F$49,"Audiencias")</f>
        <v>59944830</v>
      </c>
      <c r="L2" s="27" t="n">
        <f aca="false">SUMIFS('Líneas codificadas'!$E$2:$E$49,'Líneas codificadas'!$A$2:$A$49,$A2,'Líneas codificadas'!$B$2:$B$49,$B2,'Líneas codificadas'!$F$2:$F$49,"Contenidos")</f>
        <v>18965459</v>
      </c>
      <c r="M2" s="27" t="n">
        <f aca="false">SUMIFS('Líneas codificadas'!$E$2:$E$49,'Líneas codificadas'!$A$2:$A$49,$A2,'Líneas codificadas'!$B$2:$B$49,$B2,'Líneas codificadas'!$F$2:$F$49,"Fuera de Napoli")</f>
        <v>0</v>
      </c>
      <c r="N2" s="28" t="n">
        <f aca="false">IF($D2=0,"",E2/$D2)</f>
        <v>0.759657970584799</v>
      </c>
      <c r="O2" s="28" t="n">
        <f aca="false">IF($D2=0,"",F2/$D2)</f>
        <v>0.759657970584799</v>
      </c>
      <c r="P2" s="28" t="n">
        <f aca="false">IF($D2=0,"",G2/$D2)</f>
        <v>0</v>
      </c>
      <c r="Q2" s="28" t="n">
        <f aca="false">IF($D2=0,"",H2/$D2)</f>
        <v>0.240342029415201</v>
      </c>
      <c r="R2" s="28" t="n">
        <f aca="false">IF($D2=0,"",I2/$D2)</f>
        <v>0</v>
      </c>
      <c r="S2" s="28" t="n">
        <f aca="false">IF($D2=0,"",J2/$D2)</f>
        <v>0.240342029415201</v>
      </c>
      <c r="T2" s="28" t="n">
        <f aca="false">IF($D2=0,"",K2/$D2)</f>
        <v>0.759657970584799</v>
      </c>
      <c r="U2" s="28" t="n">
        <f aca="false">IF($D2=0,"",L2/$D2)</f>
        <v>0.240342029415201</v>
      </c>
      <c r="V2" s="27" t="n">
        <f aca="false">SUMIFS('Líneas codificadas'!$E$2:$E$49,'Líneas codificadas'!$A$2:$A$49,$A2,'Líneas codificadas'!$B$2:$B$49,$B2,'Líneas codificadas'!$K$2:$K$49,"Radio/cable")</f>
        <v>0</v>
      </c>
      <c r="W2" s="28" t="n">
        <f aca="false">IF(($D2-V2)=0,"",(E2-V2)/($D2-V2))</f>
        <v>0.759657970584799</v>
      </c>
      <c r="X2" s="27" t="n">
        <f aca="false">D2-INDEX(Datos!$F$2:$F$19,MATCH(A2&amp;"|"&amp;B2,Datos!$A$2:$A$19,0))</f>
        <v>0</v>
      </c>
    </row>
    <row r="3" customFormat="false" ht="15" hidden="false" customHeight="false" outlineLevel="0" collapsed="false">
      <c r="A3" s="7" t="s">
        <v>13</v>
      </c>
      <c r="B3" s="7" t="s">
        <v>6</v>
      </c>
      <c r="C3" s="7" t="s">
        <v>67</v>
      </c>
      <c r="D3" s="27" t="n">
        <f aca="false">SUMIFS('Líneas codificadas'!$E$2:$E$49,'Líneas codificadas'!$A$2:$A$49,$A3,'Líneas codificadas'!$B$2:$B$49,$B3)</f>
        <v>81549524</v>
      </c>
      <c r="E3" s="27" t="n">
        <f aca="false">SUMIFS('Líneas codificadas'!$E$2:$E$49,'Líneas codificadas'!$A$2:$A$49,$A3,'Líneas codificadas'!$B$2:$B$49,$B3,'Líneas codificadas'!$F$2:$F$49,"Audiencias",'Líneas codificadas'!$G$2:$G$49,"Pura")</f>
        <v>62568555</v>
      </c>
      <c r="F3" s="27" t="n">
        <f aca="false">SUMIFS('Líneas codificadas'!$E$2:$E$49,'Líneas codificadas'!$A$2:$A$49,$A3,'Líneas codificadas'!$B$2:$B$49,$B3,'Líneas codificadas'!$H$2:$H$49,"S")</f>
        <v>62568555</v>
      </c>
      <c r="G3" s="27" t="n">
        <f aca="false">SUMIFS('Líneas codificadas'!$E$2:$E$49,'Líneas codificadas'!$A$2:$A$49,$A3,'Líneas codificadas'!$B$2:$B$49,$B3,'Líneas codificadas'!$F$2:$F$49,"Contenidos",'Líneas codificadas'!$G$2:$G$49,"Pura")</f>
        <v>0</v>
      </c>
      <c r="H3" s="27" t="n">
        <f aca="false">SUMIFS('Líneas codificadas'!$E$2:$E$49,'Líneas codificadas'!$A$2:$A$49,$A3,'Líneas codificadas'!$B$2:$B$49,$B3,'Líneas codificadas'!$I$2:$I$49,"S")</f>
        <v>18980969</v>
      </c>
      <c r="I3" s="27" t="n">
        <f aca="false">SUMIFS('Líneas codificadas'!$E$2:$E$49,'Líneas codificadas'!$A$2:$A$49,$A3,'Líneas codificadas'!$B$2:$B$49,$B3,'Líneas codificadas'!$F$2:$F$49,"Fuera de Napoli",'Líneas codificadas'!$G$2:$G$49,"Pura")</f>
        <v>0</v>
      </c>
      <c r="J3" s="27" t="n">
        <f aca="false">SUMIFS('Líneas codificadas'!$E$2:$E$49,'Líneas codificadas'!$A$2:$A$49,$A3,'Líneas codificadas'!$B$2:$B$49,$B3,'Líneas codificadas'!$J$2:$J$49,"S")</f>
        <v>18980969</v>
      </c>
      <c r="K3" s="27" t="n">
        <f aca="false">SUMIFS('Líneas codificadas'!$E$2:$E$49,'Líneas codificadas'!$A$2:$A$49,$A3,'Líneas codificadas'!$B$2:$B$49,$B3,'Líneas codificadas'!$F$2:$F$49,"Audiencias")</f>
        <v>62568555</v>
      </c>
      <c r="L3" s="27" t="n">
        <f aca="false">SUMIFS('Líneas codificadas'!$E$2:$E$49,'Líneas codificadas'!$A$2:$A$49,$A3,'Líneas codificadas'!$B$2:$B$49,$B3,'Líneas codificadas'!$F$2:$F$49,"Contenidos")</f>
        <v>18980969</v>
      </c>
      <c r="M3" s="27" t="n">
        <f aca="false">SUMIFS('Líneas codificadas'!$E$2:$E$49,'Líneas codificadas'!$A$2:$A$49,$A3,'Líneas codificadas'!$B$2:$B$49,$B3,'Líneas codificadas'!$F$2:$F$49,"Fuera de Napoli")</f>
        <v>0</v>
      </c>
      <c r="N3" s="28" t="n">
        <f aca="false">IF($D3=0,"",E3/$D3)</f>
        <v>0.767246109247676</v>
      </c>
      <c r="O3" s="28" t="n">
        <f aca="false">IF($D3=0,"",F3/$D3)</f>
        <v>0.767246109247676</v>
      </c>
      <c r="P3" s="28" t="n">
        <f aca="false">IF($D3=0,"",G3/$D3)</f>
        <v>0</v>
      </c>
      <c r="Q3" s="28" t="n">
        <f aca="false">IF($D3=0,"",H3/$D3)</f>
        <v>0.232753890752324</v>
      </c>
      <c r="R3" s="28" t="n">
        <f aca="false">IF($D3=0,"",I3/$D3)</f>
        <v>0</v>
      </c>
      <c r="S3" s="28" t="n">
        <f aca="false">IF($D3=0,"",J3/$D3)</f>
        <v>0.232753890752324</v>
      </c>
      <c r="T3" s="28" t="n">
        <f aca="false">IF($D3=0,"",K3/$D3)</f>
        <v>0.767246109247676</v>
      </c>
      <c r="U3" s="28" t="n">
        <f aca="false">IF($D3=0,"",L3/$D3)</f>
        <v>0.232753890752324</v>
      </c>
      <c r="V3" s="27" t="n">
        <f aca="false">SUMIFS('Líneas codificadas'!$E$2:$E$49,'Líneas codificadas'!$A$2:$A$49,$A3,'Líneas codificadas'!$B$2:$B$49,$B3,'Líneas codificadas'!$K$2:$K$49,"Radio/cable")</f>
        <v>0</v>
      </c>
      <c r="W3" s="28" t="n">
        <f aca="false">IF(($D3-V3)=0,"",(E3-V3)/($D3-V3))</f>
        <v>0.767246109247676</v>
      </c>
      <c r="X3" s="27" t="n">
        <f aca="false">D3-INDEX(Datos!$F$2:$F$19,MATCH(A3&amp;"|"&amp;B3,Datos!$A$2:$A$19,0))</f>
        <v>0</v>
      </c>
    </row>
    <row r="4" customFormat="false" ht="15" hidden="false" customHeight="false" outlineLevel="0" collapsed="false">
      <c r="A4" s="7" t="s">
        <v>13</v>
      </c>
      <c r="B4" s="7" t="s">
        <v>7</v>
      </c>
      <c r="C4" s="7" t="s">
        <v>67</v>
      </c>
      <c r="D4" s="27" t="n">
        <f aca="false">SUMIFS('Líneas codificadas'!$E$2:$E$49,'Líneas codificadas'!$A$2:$A$49,$A4,'Líneas codificadas'!$B$2:$B$49,$B4)</f>
        <v>37163375</v>
      </c>
      <c r="E4" s="27" t="n">
        <f aca="false">SUMIFS('Líneas codificadas'!$E$2:$E$49,'Líneas codificadas'!$A$2:$A$49,$A4,'Líneas codificadas'!$B$2:$B$49,$B4,'Líneas codificadas'!$F$2:$F$49,"Audiencias",'Líneas codificadas'!$G$2:$G$49,"Pura")</f>
        <v>28128285</v>
      </c>
      <c r="F4" s="27" t="n">
        <f aca="false">SUMIFS('Líneas codificadas'!$E$2:$E$49,'Líneas codificadas'!$A$2:$A$49,$A4,'Líneas codificadas'!$B$2:$B$49,$B4,'Líneas codificadas'!$H$2:$H$49,"S")</f>
        <v>28128285</v>
      </c>
      <c r="G4" s="27" t="n">
        <f aca="false">SUMIFS('Líneas codificadas'!$E$2:$E$49,'Líneas codificadas'!$A$2:$A$49,$A4,'Líneas codificadas'!$B$2:$B$49,$B4,'Líneas codificadas'!$F$2:$F$49,"Contenidos",'Líneas codificadas'!$G$2:$G$49,"Pura")</f>
        <v>0</v>
      </c>
      <c r="H4" s="27" t="n">
        <f aca="false">SUMIFS('Líneas codificadas'!$E$2:$E$49,'Líneas codificadas'!$A$2:$A$49,$A4,'Líneas codificadas'!$B$2:$B$49,$B4,'Líneas codificadas'!$I$2:$I$49,"S")</f>
        <v>9035090</v>
      </c>
      <c r="I4" s="27" t="n">
        <f aca="false">SUMIFS('Líneas codificadas'!$E$2:$E$49,'Líneas codificadas'!$A$2:$A$49,$A4,'Líneas codificadas'!$B$2:$B$49,$B4,'Líneas codificadas'!$F$2:$F$49,"Fuera de Napoli",'Líneas codificadas'!$G$2:$G$49,"Pura")</f>
        <v>0</v>
      </c>
      <c r="J4" s="27" t="n">
        <f aca="false">SUMIFS('Líneas codificadas'!$E$2:$E$49,'Líneas codificadas'!$A$2:$A$49,$A4,'Líneas codificadas'!$B$2:$B$49,$B4,'Líneas codificadas'!$J$2:$J$49,"S")</f>
        <v>9035090</v>
      </c>
      <c r="K4" s="27" t="n">
        <f aca="false">SUMIFS('Líneas codificadas'!$E$2:$E$49,'Líneas codificadas'!$A$2:$A$49,$A4,'Líneas codificadas'!$B$2:$B$49,$B4,'Líneas codificadas'!$F$2:$F$49,"Audiencias")</f>
        <v>28128285</v>
      </c>
      <c r="L4" s="27" t="n">
        <f aca="false">SUMIFS('Líneas codificadas'!$E$2:$E$49,'Líneas codificadas'!$A$2:$A$49,$A4,'Líneas codificadas'!$B$2:$B$49,$B4,'Líneas codificadas'!$F$2:$F$49,"Contenidos")</f>
        <v>9035090</v>
      </c>
      <c r="M4" s="27" t="n">
        <f aca="false">SUMIFS('Líneas codificadas'!$E$2:$E$49,'Líneas codificadas'!$A$2:$A$49,$A4,'Líneas codificadas'!$B$2:$B$49,$B4,'Líneas codificadas'!$F$2:$F$49,"Fuera de Napoli")</f>
        <v>0</v>
      </c>
      <c r="N4" s="28" t="n">
        <f aca="false">IF($D4=0,"",E4/$D4)</f>
        <v>0.756881876309673</v>
      </c>
      <c r="O4" s="28" t="n">
        <f aca="false">IF($D4=0,"",F4/$D4)</f>
        <v>0.756881876309673</v>
      </c>
      <c r="P4" s="28" t="n">
        <f aca="false">IF($D4=0,"",G4/$D4)</f>
        <v>0</v>
      </c>
      <c r="Q4" s="28" t="n">
        <f aca="false">IF($D4=0,"",H4/$D4)</f>
        <v>0.243118123690327</v>
      </c>
      <c r="R4" s="28" t="n">
        <f aca="false">IF($D4=0,"",I4/$D4)</f>
        <v>0</v>
      </c>
      <c r="S4" s="28" t="n">
        <f aca="false">IF($D4=0,"",J4/$D4)</f>
        <v>0.243118123690327</v>
      </c>
      <c r="T4" s="28" t="n">
        <f aca="false">IF($D4=0,"",K4/$D4)</f>
        <v>0.756881876309673</v>
      </c>
      <c r="U4" s="28" t="n">
        <f aca="false">IF($D4=0,"",L4/$D4)</f>
        <v>0.243118123690327</v>
      </c>
      <c r="V4" s="27" t="n">
        <f aca="false">SUMIFS('Líneas codificadas'!$E$2:$E$49,'Líneas codificadas'!$A$2:$A$49,$A4,'Líneas codificadas'!$B$2:$B$49,$B4,'Líneas codificadas'!$K$2:$K$49,"Radio/cable")</f>
        <v>0</v>
      </c>
      <c r="W4" s="28" t="n">
        <f aca="false">IF(($D4-V4)=0,"",(E4-V4)/($D4-V4))</f>
        <v>0.756881876309673</v>
      </c>
      <c r="X4" s="27" t="n">
        <f aca="false">D4-INDEX(Datos!$F$2:$F$19,MATCH(A4&amp;"|"&amp;B4,Datos!$A$2:$A$19,0))</f>
        <v>0</v>
      </c>
    </row>
    <row r="5" customFormat="false" ht="15" hidden="false" customHeight="false" outlineLevel="0" collapsed="false">
      <c r="A5" s="7" t="s">
        <v>13</v>
      </c>
      <c r="B5" s="7" t="s">
        <v>8</v>
      </c>
      <c r="C5" s="7" t="s">
        <v>67</v>
      </c>
      <c r="D5" s="27" t="n">
        <f aca="false">SUMIFS('Líneas codificadas'!$E$2:$E$49,'Líneas codificadas'!$A$2:$A$49,$A5,'Líneas codificadas'!$B$2:$B$49,$B5)</f>
        <v>38389971</v>
      </c>
      <c r="E5" s="27" t="n">
        <f aca="false">SUMIFS('Líneas codificadas'!$E$2:$E$49,'Líneas codificadas'!$A$2:$A$49,$A5,'Líneas codificadas'!$B$2:$B$49,$B5,'Líneas codificadas'!$F$2:$F$49,"Audiencias",'Líneas codificadas'!$G$2:$G$49,"Pura")</f>
        <v>27207041</v>
      </c>
      <c r="F5" s="27" t="n">
        <f aca="false">SUMIFS('Líneas codificadas'!$E$2:$E$49,'Líneas codificadas'!$A$2:$A$49,$A5,'Líneas codificadas'!$B$2:$B$49,$B5,'Líneas codificadas'!$H$2:$H$49,"S")</f>
        <v>27207041</v>
      </c>
      <c r="G5" s="27" t="n">
        <f aca="false">SUMIFS('Líneas codificadas'!$E$2:$E$49,'Líneas codificadas'!$A$2:$A$49,$A5,'Líneas codificadas'!$B$2:$B$49,$B5,'Líneas codificadas'!$F$2:$F$49,"Contenidos",'Líneas codificadas'!$G$2:$G$49,"Pura")</f>
        <v>0</v>
      </c>
      <c r="H5" s="27" t="n">
        <f aca="false">SUMIFS('Líneas codificadas'!$E$2:$E$49,'Líneas codificadas'!$A$2:$A$49,$A5,'Líneas codificadas'!$B$2:$B$49,$B5,'Líneas codificadas'!$I$2:$I$49,"S")</f>
        <v>11182930</v>
      </c>
      <c r="I5" s="27" t="n">
        <f aca="false">SUMIFS('Líneas codificadas'!$E$2:$E$49,'Líneas codificadas'!$A$2:$A$49,$A5,'Líneas codificadas'!$B$2:$B$49,$B5,'Líneas codificadas'!$F$2:$F$49,"Fuera de Napoli",'Líneas codificadas'!$G$2:$G$49,"Pura")</f>
        <v>0</v>
      </c>
      <c r="J5" s="27" t="n">
        <f aca="false">SUMIFS('Líneas codificadas'!$E$2:$E$49,'Líneas codificadas'!$A$2:$A$49,$A5,'Líneas codificadas'!$B$2:$B$49,$B5,'Líneas codificadas'!$J$2:$J$49,"S")</f>
        <v>11182930</v>
      </c>
      <c r="K5" s="27" t="n">
        <f aca="false">SUMIFS('Líneas codificadas'!$E$2:$E$49,'Líneas codificadas'!$A$2:$A$49,$A5,'Líneas codificadas'!$B$2:$B$49,$B5,'Líneas codificadas'!$F$2:$F$49,"Audiencias")</f>
        <v>27207041</v>
      </c>
      <c r="L5" s="27" t="n">
        <f aca="false">SUMIFS('Líneas codificadas'!$E$2:$E$49,'Líneas codificadas'!$A$2:$A$49,$A5,'Líneas codificadas'!$B$2:$B$49,$B5,'Líneas codificadas'!$F$2:$F$49,"Contenidos")</f>
        <v>11182930</v>
      </c>
      <c r="M5" s="27" t="n">
        <f aca="false">SUMIFS('Líneas codificadas'!$E$2:$E$49,'Líneas codificadas'!$A$2:$A$49,$A5,'Líneas codificadas'!$B$2:$B$49,$B5,'Líneas codificadas'!$F$2:$F$49,"Fuera de Napoli")</f>
        <v>0</v>
      </c>
      <c r="N5" s="28" t="n">
        <f aca="false">IF($D5=0,"",E5/$D5)</f>
        <v>0.708701785682516</v>
      </c>
      <c r="O5" s="28" t="n">
        <f aca="false">IF($D5=0,"",F5/$D5)</f>
        <v>0.708701785682516</v>
      </c>
      <c r="P5" s="28" t="n">
        <f aca="false">IF($D5=0,"",G5/$D5)</f>
        <v>0</v>
      </c>
      <c r="Q5" s="28" t="n">
        <f aca="false">IF($D5=0,"",H5/$D5)</f>
        <v>0.291298214317484</v>
      </c>
      <c r="R5" s="28" t="n">
        <f aca="false">IF($D5=0,"",I5/$D5)</f>
        <v>0</v>
      </c>
      <c r="S5" s="28" t="n">
        <f aca="false">IF($D5=0,"",J5/$D5)</f>
        <v>0.291298214317484</v>
      </c>
      <c r="T5" s="28" t="n">
        <f aca="false">IF($D5=0,"",K5/$D5)</f>
        <v>0.708701785682516</v>
      </c>
      <c r="U5" s="28" t="n">
        <f aca="false">IF($D5=0,"",L5/$D5)</f>
        <v>0.291298214317484</v>
      </c>
      <c r="V5" s="27" t="n">
        <f aca="false">SUMIFS('Líneas codificadas'!$E$2:$E$49,'Líneas codificadas'!$A$2:$A$49,$A5,'Líneas codificadas'!$B$2:$B$49,$B5,'Líneas codificadas'!$K$2:$K$49,"Radio/cable")</f>
        <v>0</v>
      </c>
      <c r="W5" s="28" t="n">
        <f aca="false">IF(($D5-V5)=0,"",(E5-V5)/($D5-V5))</f>
        <v>0.708701785682516</v>
      </c>
      <c r="X5" s="27" t="n">
        <f aca="false">D5-INDEX(Datos!$F$2:$F$19,MATCH(A5&amp;"|"&amp;B5,Datos!$A$2:$A$19,0))</f>
        <v>0</v>
      </c>
    </row>
    <row r="6" customFormat="false" ht="15" hidden="false" customHeight="false" outlineLevel="0" collapsed="false">
      <c r="A6" s="7" t="s">
        <v>14</v>
      </c>
      <c r="B6" s="7" t="s">
        <v>5</v>
      </c>
      <c r="C6" s="7" t="s">
        <v>67</v>
      </c>
      <c r="D6" s="27" t="n">
        <f aca="false">SUMIFS('Líneas codificadas'!$E$2:$E$49,'Líneas codificadas'!$A$2:$A$49,$A6,'Líneas codificadas'!$B$2:$B$49,$B6)</f>
        <v>102919851</v>
      </c>
      <c r="E6" s="27" t="n">
        <f aca="false">SUMIFS('Líneas codificadas'!$E$2:$E$49,'Líneas codificadas'!$A$2:$A$49,$A6,'Líneas codificadas'!$B$2:$B$49,$B6,'Líneas codificadas'!$F$2:$F$49,"Audiencias",'Líneas codificadas'!$G$2:$G$49,"Pura")</f>
        <v>77905105</v>
      </c>
      <c r="F6" s="27" t="n">
        <f aca="false">SUMIFS('Líneas codificadas'!$E$2:$E$49,'Líneas codificadas'!$A$2:$A$49,$A6,'Líneas codificadas'!$B$2:$B$49,$B6,'Líneas codificadas'!$H$2:$H$49,"S")</f>
        <v>77905105</v>
      </c>
      <c r="G6" s="27" t="n">
        <f aca="false">SUMIFS('Líneas codificadas'!$E$2:$E$49,'Líneas codificadas'!$A$2:$A$49,$A6,'Líneas codificadas'!$B$2:$B$49,$B6,'Líneas codificadas'!$F$2:$F$49,"Contenidos",'Líneas codificadas'!$G$2:$G$49,"Pura")</f>
        <v>25014746</v>
      </c>
      <c r="H6" s="27" t="n">
        <f aca="false">SUMIFS('Líneas codificadas'!$E$2:$E$49,'Líneas codificadas'!$A$2:$A$49,$A6,'Líneas codificadas'!$B$2:$B$49,$B6,'Líneas codificadas'!$I$2:$I$49,"S")</f>
        <v>25014746</v>
      </c>
      <c r="I6" s="27" t="n">
        <f aca="false">SUMIFS('Líneas codificadas'!$E$2:$E$49,'Líneas codificadas'!$A$2:$A$49,$A6,'Líneas codificadas'!$B$2:$B$49,$B6,'Líneas codificadas'!$F$2:$F$49,"Fuera de Napoli",'Líneas codificadas'!$G$2:$G$49,"Pura")</f>
        <v>0</v>
      </c>
      <c r="J6" s="27" t="n">
        <f aca="false">SUMIFS('Líneas codificadas'!$E$2:$E$49,'Líneas codificadas'!$A$2:$A$49,$A6,'Líneas codificadas'!$B$2:$B$49,$B6,'Líneas codificadas'!$J$2:$J$49,"S")</f>
        <v>0</v>
      </c>
      <c r="K6" s="27" t="n">
        <f aca="false">SUMIFS('Líneas codificadas'!$E$2:$E$49,'Líneas codificadas'!$A$2:$A$49,$A6,'Líneas codificadas'!$B$2:$B$49,$B6,'Líneas codificadas'!$F$2:$F$49,"Audiencias")</f>
        <v>77905105</v>
      </c>
      <c r="L6" s="27" t="n">
        <f aca="false">SUMIFS('Líneas codificadas'!$E$2:$E$49,'Líneas codificadas'!$A$2:$A$49,$A6,'Líneas codificadas'!$B$2:$B$49,$B6,'Líneas codificadas'!$F$2:$F$49,"Contenidos")</f>
        <v>25014746</v>
      </c>
      <c r="M6" s="27" t="n">
        <f aca="false">SUMIFS('Líneas codificadas'!$E$2:$E$49,'Líneas codificadas'!$A$2:$A$49,$A6,'Líneas codificadas'!$B$2:$B$49,$B6,'Líneas codificadas'!$F$2:$F$49,"Fuera de Napoli")</f>
        <v>0</v>
      </c>
      <c r="N6" s="28" t="n">
        <f aca="false">IF($D6=0,"",E6/$D6)</f>
        <v>0.756949259477649</v>
      </c>
      <c r="O6" s="28" t="n">
        <f aca="false">IF($D6=0,"",F6/$D6)</f>
        <v>0.756949259477649</v>
      </c>
      <c r="P6" s="28" t="n">
        <f aca="false">IF($D6=0,"",G6/$D6)</f>
        <v>0.243050740522351</v>
      </c>
      <c r="Q6" s="28" t="n">
        <f aca="false">IF($D6=0,"",H6/$D6)</f>
        <v>0.243050740522351</v>
      </c>
      <c r="R6" s="28" t="n">
        <f aca="false">IF($D6=0,"",I6/$D6)</f>
        <v>0</v>
      </c>
      <c r="S6" s="28" t="n">
        <f aca="false">IF($D6=0,"",J6/$D6)</f>
        <v>0</v>
      </c>
      <c r="T6" s="28" t="n">
        <f aca="false">IF($D6=0,"",K6/$D6)</f>
        <v>0.756949259477649</v>
      </c>
      <c r="U6" s="28" t="n">
        <f aca="false">IF($D6=0,"",L6/$D6)</f>
        <v>0.243050740522351</v>
      </c>
      <c r="V6" s="27" t="n">
        <f aca="false">SUMIFS('Líneas codificadas'!$E$2:$E$49,'Líneas codificadas'!$A$2:$A$49,$A6,'Líneas codificadas'!$B$2:$B$49,$B6,'Líneas codificadas'!$K$2:$K$49,"Radio/cable")</f>
        <v>7647449</v>
      </c>
      <c r="W6" s="28" t="n">
        <f aca="false">IF(($D6-V6)=0,"",(E6-V6)/($D6-V6))</f>
        <v>0.737439746716998</v>
      </c>
      <c r="X6" s="27" t="n">
        <f aca="false">D6-INDEX(Datos!$F$2:$F$19,MATCH(A6&amp;"|"&amp;B6,Datos!$A$2:$A$19,0))</f>
        <v>0</v>
      </c>
    </row>
    <row r="7" customFormat="false" ht="15" hidden="false" customHeight="false" outlineLevel="0" collapsed="false">
      <c r="A7" s="7" t="s">
        <v>14</v>
      </c>
      <c r="B7" s="7" t="s">
        <v>6</v>
      </c>
      <c r="C7" s="7" t="s">
        <v>67</v>
      </c>
      <c r="D7" s="27" t="n">
        <f aca="false">SUMIFS('Líneas codificadas'!$E$2:$E$49,'Líneas codificadas'!$A$2:$A$49,$A7,'Líneas codificadas'!$B$2:$B$49,$B7)</f>
        <v>104840064</v>
      </c>
      <c r="E7" s="27" t="n">
        <f aca="false">SUMIFS('Líneas codificadas'!$E$2:$E$49,'Líneas codificadas'!$A$2:$A$49,$A7,'Líneas codificadas'!$B$2:$B$49,$B7,'Líneas codificadas'!$F$2:$F$49,"Audiencias",'Líneas codificadas'!$G$2:$G$49,"Pura")</f>
        <v>82713303</v>
      </c>
      <c r="F7" s="27" t="n">
        <f aca="false">SUMIFS('Líneas codificadas'!$E$2:$E$49,'Líneas codificadas'!$A$2:$A$49,$A7,'Líneas codificadas'!$B$2:$B$49,$B7,'Líneas codificadas'!$H$2:$H$49,"S")</f>
        <v>82713303</v>
      </c>
      <c r="G7" s="27" t="n">
        <f aca="false">SUMIFS('Líneas codificadas'!$E$2:$E$49,'Líneas codificadas'!$A$2:$A$49,$A7,'Líneas codificadas'!$B$2:$B$49,$B7,'Líneas codificadas'!$F$2:$F$49,"Contenidos",'Líneas codificadas'!$G$2:$G$49,"Pura")</f>
        <v>22126761</v>
      </c>
      <c r="H7" s="27" t="n">
        <f aca="false">SUMIFS('Líneas codificadas'!$E$2:$E$49,'Líneas codificadas'!$A$2:$A$49,$A7,'Líneas codificadas'!$B$2:$B$49,$B7,'Líneas codificadas'!$I$2:$I$49,"S")</f>
        <v>22126761</v>
      </c>
      <c r="I7" s="27" t="n">
        <f aca="false">SUMIFS('Líneas codificadas'!$E$2:$E$49,'Líneas codificadas'!$A$2:$A$49,$A7,'Líneas codificadas'!$B$2:$B$49,$B7,'Líneas codificadas'!$F$2:$F$49,"Fuera de Napoli",'Líneas codificadas'!$G$2:$G$49,"Pura")</f>
        <v>0</v>
      </c>
      <c r="J7" s="27" t="n">
        <f aca="false">SUMIFS('Líneas codificadas'!$E$2:$E$49,'Líneas codificadas'!$A$2:$A$49,$A7,'Líneas codificadas'!$B$2:$B$49,$B7,'Líneas codificadas'!$J$2:$J$49,"S")</f>
        <v>0</v>
      </c>
      <c r="K7" s="27" t="n">
        <f aca="false">SUMIFS('Líneas codificadas'!$E$2:$E$49,'Líneas codificadas'!$A$2:$A$49,$A7,'Líneas codificadas'!$B$2:$B$49,$B7,'Líneas codificadas'!$F$2:$F$49,"Audiencias")</f>
        <v>82713303</v>
      </c>
      <c r="L7" s="27" t="n">
        <f aca="false">SUMIFS('Líneas codificadas'!$E$2:$E$49,'Líneas codificadas'!$A$2:$A$49,$A7,'Líneas codificadas'!$B$2:$B$49,$B7,'Líneas codificadas'!$F$2:$F$49,"Contenidos")</f>
        <v>22126761</v>
      </c>
      <c r="M7" s="27" t="n">
        <f aca="false">SUMIFS('Líneas codificadas'!$E$2:$E$49,'Líneas codificadas'!$A$2:$A$49,$A7,'Líneas codificadas'!$B$2:$B$49,$B7,'Líneas codificadas'!$F$2:$F$49,"Fuera de Napoli")</f>
        <v>0</v>
      </c>
      <c r="N7" s="28" t="n">
        <f aca="false">IF($D7=0,"",E7/$D7)</f>
        <v>0.788947467639852</v>
      </c>
      <c r="O7" s="28" t="n">
        <f aca="false">IF($D7=0,"",F7/$D7)</f>
        <v>0.788947467639852</v>
      </c>
      <c r="P7" s="28" t="n">
        <f aca="false">IF($D7=0,"",G7/$D7)</f>
        <v>0.211052532360148</v>
      </c>
      <c r="Q7" s="28" t="n">
        <f aca="false">IF($D7=0,"",H7/$D7)</f>
        <v>0.211052532360148</v>
      </c>
      <c r="R7" s="28" t="n">
        <f aca="false">IF($D7=0,"",I7/$D7)</f>
        <v>0</v>
      </c>
      <c r="S7" s="28" t="n">
        <f aca="false">IF($D7=0,"",J7/$D7)</f>
        <v>0</v>
      </c>
      <c r="T7" s="28" t="n">
        <f aca="false">IF($D7=0,"",K7/$D7)</f>
        <v>0.788947467639852</v>
      </c>
      <c r="U7" s="28" t="n">
        <f aca="false">IF($D7=0,"",L7/$D7)</f>
        <v>0.211052532360148</v>
      </c>
      <c r="V7" s="27" t="n">
        <f aca="false">SUMIFS('Líneas codificadas'!$E$2:$E$49,'Líneas codificadas'!$A$2:$A$49,$A7,'Líneas codificadas'!$B$2:$B$49,$B7,'Líneas codificadas'!$K$2:$K$49,"Radio/cable")</f>
        <v>7559044</v>
      </c>
      <c r="W7" s="28" t="n">
        <f aca="false">IF(($D7-V7)=0,"",(E7-V7)/($D7-V7))</f>
        <v>0.772548016046707</v>
      </c>
      <c r="X7" s="27" t="n">
        <f aca="false">D7-INDEX(Datos!$F$2:$F$19,MATCH(A7&amp;"|"&amp;B7,Datos!$A$2:$A$19,0))</f>
        <v>0</v>
      </c>
    </row>
    <row r="8" customFormat="false" ht="15" hidden="false" customHeight="false" outlineLevel="0" collapsed="false">
      <c r="A8" s="7" t="s">
        <v>15</v>
      </c>
      <c r="B8" s="7" t="s">
        <v>5</v>
      </c>
      <c r="C8" s="7" t="s">
        <v>67</v>
      </c>
      <c r="D8" s="27" t="n">
        <f aca="false">SUMIFS('Líneas codificadas'!$E$2:$E$49,'Líneas codificadas'!$A$2:$A$49,$A8,'Líneas codificadas'!$B$2:$B$49,$B8)</f>
        <v>73317526</v>
      </c>
      <c r="E8" s="27" t="n">
        <f aca="false">SUMIFS('Líneas codificadas'!$E$2:$E$49,'Líneas codificadas'!$A$2:$A$49,$A8,'Líneas codificadas'!$B$2:$B$49,$B8,'Líneas codificadas'!$F$2:$F$49,"Audiencias",'Líneas codificadas'!$G$2:$G$49,"Pura")</f>
        <v>66752603</v>
      </c>
      <c r="F8" s="27" t="n">
        <f aca="false">SUMIFS('Líneas codificadas'!$E$2:$E$49,'Líneas codificadas'!$A$2:$A$49,$A8,'Líneas codificadas'!$B$2:$B$49,$B8,'Líneas codificadas'!$H$2:$H$49,"S")</f>
        <v>73317526</v>
      </c>
      <c r="G8" s="27" t="n">
        <f aca="false">SUMIFS('Líneas codificadas'!$E$2:$E$49,'Líneas codificadas'!$A$2:$A$49,$A8,'Líneas codificadas'!$B$2:$B$49,$B8,'Líneas codificadas'!$F$2:$F$49,"Contenidos",'Líneas codificadas'!$G$2:$G$49,"Pura")</f>
        <v>0</v>
      </c>
      <c r="H8" s="27" t="n">
        <f aca="false">SUMIFS('Líneas codificadas'!$E$2:$E$49,'Líneas codificadas'!$A$2:$A$49,$A8,'Líneas codificadas'!$B$2:$B$49,$B8,'Líneas codificadas'!$I$2:$I$49,"S")</f>
        <v>6564923</v>
      </c>
      <c r="I8" s="27" t="n">
        <f aca="false">SUMIFS('Líneas codificadas'!$E$2:$E$49,'Líneas codificadas'!$A$2:$A$49,$A8,'Líneas codificadas'!$B$2:$B$49,$B8,'Líneas codificadas'!$F$2:$F$49,"Fuera de Napoli",'Líneas codificadas'!$G$2:$G$49,"Pura")</f>
        <v>0</v>
      </c>
      <c r="J8" s="27" t="n">
        <f aca="false">SUMIFS('Líneas codificadas'!$E$2:$E$49,'Líneas codificadas'!$A$2:$A$49,$A8,'Líneas codificadas'!$B$2:$B$49,$B8,'Líneas codificadas'!$J$2:$J$49,"S")</f>
        <v>6564923</v>
      </c>
      <c r="K8" s="27" t="n">
        <f aca="false">SUMIFS('Líneas codificadas'!$E$2:$E$49,'Líneas codificadas'!$A$2:$A$49,$A8,'Líneas codificadas'!$B$2:$B$49,$B8,'Líneas codificadas'!$F$2:$F$49,"Audiencias")</f>
        <v>66752603</v>
      </c>
      <c r="L8" s="27" t="n">
        <f aca="false">SUMIFS('Líneas codificadas'!$E$2:$E$49,'Líneas codificadas'!$A$2:$A$49,$A8,'Líneas codificadas'!$B$2:$B$49,$B8,'Líneas codificadas'!$F$2:$F$49,"Contenidos")</f>
        <v>6564923</v>
      </c>
      <c r="M8" s="27" t="n">
        <f aca="false">SUMIFS('Líneas codificadas'!$E$2:$E$49,'Líneas codificadas'!$A$2:$A$49,$A8,'Líneas codificadas'!$B$2:$B$49,$B8,'Líneas codificadas'!$F$2:$F$49,"Fuera de Napoli")</f>
        <v>0</v>
      </c>
      <c r="N8" s="28" t="n">
        <f aca="false">IF($D8=0,"",E8/$D8)</f>
        <v>0.910459021762409</v>
      </c>
      <c r="O8" s="28" t="n">
        <f aca="false">IF($D8=0,"",F8/$D8)</f>
        <v>1</v>
      </c>
      <c r="P8" s="28" t="n">
        <f aca="false">IF($D8=0,"",G8/$D8)</f>
        <v>0</v>
      </c>
      <c r="Q8" s="28" t="n">
        <f aca="false">IF($D8=0,"",H8/$D8)</f>
        <v>0.0895409782375908</v>
      </c>
      <c r="R8" s="28" t="n">
        <f aca="false">IF($D8=0,"",I8/$D8)</f>
        <v>0</v>
      </c>
      <c r="S8" s="28" t="n">
        <f aca="false">IF($D8=0,"",J8/$D8)</f>
        <v>0.0895409782375908</v>
      </c>
      <c r="T8" s="28" t="n">
        <f aca="false">IF($D8=0,"",K8/$D8)</f>
        <v>0.910459021762409</v>
      </c>
      <c r="U8" s="28" t="n">
        <f aca="false">IF($D8=0,"",L8/$D8)</f>
        <v>0.0895409782375908</v>
      </c>
      <c r="V8" s="27" t="n">
        <f aca="false">SUMIFS('Líneas codificadas'!$E$2:$E$49,'Líneas codificadas'!$A$2:$A$49,$A8,'Líneas codificadas'!$B$2:$B$49,$B8,'Líneas codificadas'!$K$2:$K$49,"Radio/cable")</f>
        <v>0</v>
      </c>
      <c r="W8" s="28" t="n">
        <f aca="false">IF(($D8-V8)=0,"",(E8-V8)/($D8-V8))</f>
        <v>0.910459021762409</v>
      </c>
      <c r="X8" s="27" t="n">
        <f aca="false">D8-INDEX(Datos!$F$2:$F$19,MATCH(A8&amp;"|"&amp;B8,Datos!$A$2:$A$19,0))</f>
        <v>0</v>
      </c>
    </row>
    <row r="9" customFormat="false" ht="15" hidden="false" customHeight="false" outlineLevel="0" collapsed="false">
      <c r="A9" s="7" t="s">
        <v>15</v>
      </c>
      <c r="B9" s="7" t="s">
        <v>6</v>
      </c>
      <c r="C9" s="7" t="s">
        <v>67</v>
      </c>
      <c r="D9" s="27" t="n">
        <f aca="false">SUMIFS('Líneas codificadas'!$E$2:$E$49,'Líneas codificadas'!$A$2:$A$49,$A9,'Líneas codificadas'!$B$2:$B$49,$B9)</f>
        <v>72498180</v>
      </c>
      <c r="E9" s="27" t="n">
        <f aca="false">SUMIFS('Líneas codificadas'!$E$2:$E$49,'Líneas codificadas'!$A$2:$A$49,$A9,'Líneas codificadas'!$B$2:$B$49,$B9,'Líneas codificadas'!$F$2:$F$49,"Audiencias",'Líneas codificadas'!$G$2:$G$49,"Pura")</f>
        <v>64981856</v>
      </c>
      <c r="F9" s="27" t="n">
        <f aca="false">SUMIFS('Líneas codificadas'!$E$2:$E$49,'Líneas codificadas'!$A$2:$A$49,$A9,'Líneas codificadas'!$B$2:$B$49,$B9,'Líneas codificadas'!$H$2:$H$49,"S")</f>
        <v>72498180</v>
      </c>
      <c r="G9" s="27" t="n">
        <f aca="false">SUMIFS('Líneas codificadas'!$E$2:$E$49,'Líneas codificadas'!$A$2:$A$49,$A9,'Líneas codificadas'!$B$2:$B$49,$B9,'Líneas codificadas'!$F$2:$F$49,"Contenidos",'Líneas codificadas'!$G$2:$G$49,"Pura")</f>
        <v>0</v>
      </c>
      <c r="H9" s="27" t="n">
        <f aca="false">SUMIFS('Líneas codificadas'!$E$2:$E$49,'Líneas codificadas'!$A$2:$A$49,$A9,'Líneas codificadas'!$B$2:$B$49,$B9,'Líneas codificadas'!$I$2:$I$49,"S")</f>
        <v>7516324</v>
      </c>
      <c r="I9" s="27" t="n">
        <f aca="false">SUMIFS('Líneas codificadas'!$E$2:$E$49,'Líneas codificadas'!$A$2:$A$49,$A9,'Líneas codificadas'!$B$2:$B$49,$B9,'Líneas codificadas'!$F$2:$F$49,"Fuera de Napoli",'Líneas codificadas'!$G$2:$G$49,"Pura")</f>
        <v>0</v>
      </c>
      <c r="J9" s="27" t="n">
        <f aca="false">SUMIFS('Líneas codificadas'!$E$2:$E$49,'Líneas codificadas'!$A$2:$A$49,$A9,'Líneas codificadas'!$B$2:$B$49,$B9,'Líneas codificadas'!$J$2:$J$49,"S")</f>
        <v>7516324</v>
      </c>
      <c r="K9" s="27" t="n">
        <f aca="false">SUMIFS('Líneas codificadas'!$E$2:$E$49,'Líneas codificadas'!$A$2:$A$49,$A9,'Líneas codificadas'!$B$2:$B$49,$B9,'Líneas codificadas'!$F$2:$F$49,"Audiencias")</f>
        <v>64981856</v>
      </c>
      <c r="L9" s="27" t="n">
        <f aca="false">SUMIFS('Líneas codificadas'!$E$2:$E$49,'Líneas codificadas'!$A$2:$A$49,$A9,'Líneas codificadas'!$B$2:$B$49,$B9,'Líneas codificadas'!$F$2:$F$49,"Contenidos")</f>
        <v>7516324</v>
      </c>
      <c r="M9" s="27" t="n">
        <f aca="false">SUMIFS('Líneas codificadas'!$E$2:$E$49,'Líneas codificadas'!$A$2:$A$49,$A9,'Líneas codificadas'!$B$2:$B$49,$B9,'Líneas codificadas'!$F$2:$F$49,"Fuera de Napoli")</f>
        <v>0</v>
      </c>
      <c r="N9" s="28" t="n">
        <f aca="false">IF($D9=0,"",E9/$D9)</f>
        <v>0.896323962891206</v>
      </c>
      <c r="O9" s="28" t="n">
        <f aca="false">IF($D9=0,"",F9/$D9)</f>
        <v>1</v>
      </c>
      <c r="P9" s="28" t="n">
        <f aca="false">IF($D9=0,"",G9/$D9)</f>
        <v>0</v>
      </c>
      <c r="Q9" s="28" t="n">
        <f aca="false">IF($D9=0,"",H9/$D9)</f>
        <v>0.103676037108794</v>
      </c>
      <c r="R9" s="28" t="n">
        <f aca="false">IF($D9=0,"",I9/$D9)</f>
        <v>0</v>
      </c>
      <c r="S9" s="28" t="n">
        <f aca="false">IF($D9=0,"",J9/$D9)</f>
        <v>0.103676037108794</v>
      </c>
      <c r="T9" s="28" t="n">
        <f aca="false">IF($D9=0,"",K9/$D9)</f>
        <v>0.896323962891206</v>
      </c>
      <c r="U9" s="28" t="n">
        <f aca="false">IF($D9=0,"",L9/$D9)</f>
        <v>0.103676037108794</v>
      </c>
      <c r="V9" s="27" t="n">
        <f aca="false">SUMIFS('Líneas codificadas'!$E$2:$E$49,'Líneas codificadas'!$A$2:$A$49,$A9,'Líneas codificadas'!$B$2:$B$49,$B9,'Líneas codificadas'!$K$2:$K$49,"Radio/cable")</f>
        <v>0</v>
      </c>
      <c r="W9" s="28" t="n">
        <f aca="false">IF(($D9-V9)=0,"",(E9-V9)/($D9-V9))</f>
        <v>0.896323962891206</v>
      </c>
      <c r="X9" s="27" t="n">
        <f aca="false">D9-INDEX(Datos!$F$2:$F$19,MATCH(A9&amp;"|"&amp;B9,Datos!$A$2:$A$19,0))</f>
        <v>0</v>
      </c>
    </row>
    <row r="10" customFormat="false" ht="15" hidden="false" customHeight="false" outlineLevel="0" collapsed="false">
      <c r="A10" s="7" t="s">
        <v>9</v>
      </c>
      <c r="B10" s="7" t="s">
        <v>5</v>
      </c>
      <c r="C10" s="7" t="s">
        <v>67</v>
      </c>
      <c r="D10" s="27" t="n">
        <f aca="false">SUMIFS('Líneas codificadas'!$E$2:$E$49,'Líneas codificadas'!$A$2:$A$49,$A10,'Líneas codificadas'!$B$2:$B$49,$B10)</f>
        <v>46850034</v>
      </c>
      <c r="E10" s="27" t="n">
        <f aca="false">SUMIFS('Líneas codificadas'!$E$2:$E$49,'Líneas codificadas'!$A$2:$A$49,$A10,'Líneas codificadas'!$B$2:$B$49,$B10,'Líneas codificadas'!$F$2:$F$49,"Audiencias",'Líneas codificadas'!$G$2:$G$49,"Pura")</f>
        <v>29763217</v>
      </c>
      <c r="F10" s="27" t="n">
        <f aca="false">SUMIFS('Líneas codificadas'!$E$2:$E$49,'Líneas codificadas'!$A$2:$A$49,$A10,'Líneas codificadas'!$B$2:$B$49,$B10,'Líneas codificadas'!$H$2:$H$49,"S")</f>
        <v>46850034</v>
      </c>
      <c r="G10" s="27" t="n">
        <f aca="false">SUMIFS('Líneas codificadas'!$E$2:$E$49,'Líneas codificadas'!$A$2:$A$49,$A10,'Líneas codificadas'!$B$2:$B$49,$B10,'Líneas codificadas'!$F$2:$F$49,"Contenidos",'Líneas codificadas'!$G$2:$G$49,"Pura")</f>
        <v>0</v>
      </c>
      <c r="H10" s="27" t="n">
        <f aca="false">SUMIFS('Líneas codificadas'!$E$2:$E$49,'Líneas codificadas'!$A$2:$A$49,$A10,'Líneas codificadas'!$B$2:$B$49,$B10,'Líneas codificadas'!$I$2:$I$49,"S")</f>
        <v>17086817</v>
      </c>
      <c r="I10" s="27" t="n">
        <f aca="false">SUMIFS('Líneas codificadas'!$E$2:$E$49,'Líneas codificadas'!$A$2:$A$49,$A10,'Líneas codificadas'!$B$2:$B$49,$B10,'Líneas codificadas'!$F$2:$F$49,"Fuera de Napoli",'Líneas codificadas'!$G$2:$G$49,"Pura")</f>
        <v>0</v>
      </c>
      <c r="J10" s="27" t="n">
        <f aca="false">SUMIFS('Líneas codificadas'!$E$2:$E$49,'Líneas codificadas'!$A$2:$A$49,$A10,'Líneas codificadas'!$B$2:$B$49,$B10,'Líneas codificadas'!$J$2:$J$49,"S")</f>
        <v>17086817</v>
      </c>
      <c r="K10" s="27" t="n">
        <f aca="false">SUMIFS('Líneas codificadas'!$E$2:$E$49,'Líneas codificadas'!$A$2:$A$49,$A10,'Líneas codificadas'!$B$2:$B$49,$B10,'Líneas codificadas'!$F$2:$F$49,"Audiencias")</f>
        <v>29763217</v>
      </c>
      <c r="L10" s="27" t="n">
        <f aca="false">SUMIFS('Líneas codificadas'!$E$2:$E$49,'Líneas codificadas'!$A$2:$A$49,$A10,'Líneas codificadas'!$B$2:$B$49,$B10,'Líneas codificadas'!$F$2:$F$49,"Contenidos")</f>
        <v>17086817</v>
      </c>
      <c r="M10" s="27" t="n">
        <f aca="false">SUMIFS('Líneas codificadas'!$E$2:$E$49,'Líneas codificadas'!$A$2:$A$49,$A10,'Líneas codificadas'!$B$2:$B$49,$B10,'Líneas codificadas'!$F$2:$F$49,"Fuera de Napoli")</f>
        <v>0</v>
      </c>
      <c r="N10" s="28" t="n">
        <f aca="false">IF($D10=0,"",E10/$D10)</f>
        <v>0.63528698826558</v>
      </c>
      <c r="O10" s="28" t="n">
        <f aca="false">IF($D10=0,"",F10/$D10)</f>
        <v>1</v>
      </c>
      <c r="P10" s="28" t="n">
        <f aca="false">IF($D10=0,"",G10/$D10)</f>
        <v>0</v>
      </c>
      <c r="Q10" s="28" t="n">
        <f aca="false">IF($D10=0,"",H10/$D10)</f>
        <v>0.364713011734421</v>
      </c>
      <c r="R10" s="28" t="n">
        <f aca="false">IF($D10=0,"",I10/$D10)</f>
        <v>0</v>
      </c>
      <c r="S10" s="28" t="n">
        <f aca="false">IF($D10=0,"",J10/$D10)</f>
        <v>0.364713011734421</v>
      </c>
      <c r="T10" s="28" t="n">
        <f aca="false">IF($D10=0,"",K10/$D10)</f>
        <v>0.63528698826558</v>
      </c>
      <c r="U10" s="28" t="n">
        <f aca="false">IF($D10=0,"",L10/$D10)</f>
        <v>0.364713011734421</v>
      </c>
      <c r="V10" s="27" t="n">
        <f aca="false">SUMIFS('Líneas codificadas'!$E$2:$E$49,'Líneas codificadas'!$A$2:$A$49,$A10,'Líneas codificadas'!$B$2:$B$49,$B10,'Líneas codificadas'!$K$2:$K$49,"Radio/cable")</f>
        <v>0</v>
      </c>
      <c r="W10" s="28" t="n">
        <f aca="false">IF(($D10-V10)=0,"",(E10-V10)/($D10-V10))</f>
        <v>0.63528698826558</v>
      </c>
      <c r="X10" s="27" t="n">
        <f aca="false">D10-INDEX(Datos!$F$2:$F$19,MATCH(A10&amp;"|"&amp;B10,Datos!$A$2:$A$19,0))</f>
        <v>0</v>
      </c>
    </row>
    <row r="11" customFormat="false" ht="15" hidden="false" customHeight="false" outlineLevel="0" collapsed="false">
      <c r="A11" s="7" t="s">
        <v>9</v>
      </c>
      <c r="B11" s="7" t="s">
        <v>6</v>
      </c>
      <c r="C11" s="7" t="s">
        <v>67</v>
      </c>
      <c r="D11" s="27" t="n">
        <f aca="false">SUMIFS('Líneas codificadas'!$E$2:$E$49,'Líneas codificadas'!$A$2:$A$49,$A11,'Líneas codificadas'!$B$2:$B$49,$B11)</f>
        <v>47915398</v>
      </c>
      <c r="E11" s="27" t="n">
        <f aca="false">SUMIFS('Líneas codificadas'!$E$2:$E$49,'Líneas codificadas'!$A$2:$A$49,$A11,'Líneas codificadas'!$B$2:$B$49,$B11,'Líneas codificadas'!$F$2:$F$49,"Audiencias",'Líneas codificadas'!$G$2:$G$49,"Pura")</f>
        <v>28787675</v>
      </c>
      <c r="F11" s="27" t="n">
        <f aca="false">SUMIFS('Líneas codificadas'!$E$2:$E$49,'Líneas codificadas'!$A$2:$A$49,$A11,'Líneas codificadas'!$B$2:$B$49,$B11,'Líneas codificadas'!$H$2:$H$49,"S")</f>
        <v>45915398</v>
      </c>
      <c r="G11" s="27" t="n">
        <f aca="false">SUMIFS('Líneas codificadas'!$E$2:$E$49,'Líneas codificadas'!$A$2:$A$49,$A11,'Líneas codificadas'!$B$2:$B$49,$B11,'Líneas codificadas'!$F$2:$F$49,"Contenidos",'Líneas codificadas'!$G$2:$G$49,"Pura")</f>
        <v>0</v>
      </c>
      <c r="H11" s="27" t="n">
        <f aca="false">SUMIFS('Líneas codificadas'!$E$2:$E$49,'Líneas codificadas'!$A$2:$A$49,$A11,'Líneas codificadas'!$B$2:$B$49,$B11,'Líneas codificadas'!$I$2:$I$49,"S")</f>
        <v>17127723</v>
      </c>
      <c r="I11" s="27" t="n">
        <f aca="false">SUMIFS('Líneas codificadas'!$E$2:$E$49,'Líneas codificadas'!$A$2:$A$49,$A11,'Líneas codificadas'!$B$2:$B$49,$B11,'Líneas codificadas'!$F$2:$F$49,"Fuera de Napoli",'Líneas codificadas'!$G$2:$G$49,"Pura")</f>
        <v>2000000</v>
      </c>
      <c r="J11" s="27" t="n">
        <f aca="false">SUMIFS('Líneas codificadas'!$E$2:$E$49,'Líneas codificadas'!$A$2:$A$49,$A11,'Líneas codificadas'!$B$2:$B$49,$B11,'Líneas codificadas'!$J$2:$J$49,"S")</f>
        <v>19127723</v>
      </c>
      <c r="K11" s="27" t="n">
        <f aca="false">SUMIFS('Líneas codificadas'!$E$2:$E$49,'Líneas codificadas'!$A$2:$A$49,$A11,'Líneas codificadas'!$B$2:$B$49,$B11,'Líneas codificadas'!$F$2:$F$49,"Audiencias")</f>
        <v>28787675</v>
      </c>
      <c r="L11" s="27" t="n">
        <f aca="false">SUMIFS('Líneas codificadas'!$E$2:$E$49,'Líneas codificadas'!$A$2:$A$49,$A11,'Líneas codificadas'!$B$2:$B$49,$B11,'Líneas codificadas'!$F$2:$F$49,"Contenidos")</f>
        <v>17127723</v>
      </c>
      <c r="M11" s="27" t="n">
        <f aca="false">SUMIFS('Líneas codificadas'!$E$2:$E$49,'Líneas codificadas'!$A$2:$A$49,$A11,'Líneas codificadas'!$B$2:$B$49,$B11,'Líneas codificadas'!$F$2:$F$49,"Fuera de Napoli")</f>
        <v>2000000</v>
      </c>
      <c r="N11" s="28" t="n">
        <f aca="false">IF($D11=0,"",E11/$D11)</f>
        <v>0.600802168021228</v>
      </c>
      <c r="O11" s="28" t="n">
        <f aca="false">IF($D11=0,"",F11/$D11)</f>
        <v>0.958259764428963</v>
      </c>
      <c r="P11" s="28" t="n">
        <f aca="false">IF($D11=0,"",G11/$D11)</f>
        <v>0</v>
      </c>
      <c r="Q11" s="28" t="n">
        <f aca="false">IF($D11=0,"",H11/$D11)</f>
        <v>0.357457596407735</v>
      </c>
      <c r="R11" s="28" t="n">
        <f aca="false">IF($D11=0,"",I11/$D11)</f>
        <v>0.0417402355710371</v>
      </c>
      <c r="S11" s="28" t="n">
        <f aca="false">IF($D11=0,"",J11/$D11)</f>
        <v>0.399197831978772</v>
      </c>
      <c r="T11" s="28" t="n">
        <f aca="false">IF($D11=0,"",K11/$D11)</f>
        <v>0.600802168021228</v>
      </c>
      <c r="U11" s="28" t="n">
        <f aca="false">IF($D11=0,"",L11/$D11)</f>
        <v>0.357457596407735</v>
      </c>
      <c r="V11" s="27" t="n">
        <f aca="false">SUMIFS('Líneas codificadas'!$E$2:$E$49,'Líneas codificadas'!$A$2:$A$49,$A11,'Líneas codificadas'!$B$2:$B$49,$B11,'Líneas codificadas'!$K$2:$K$49,"Radio/cable")</f>
        <v>0</v>
      </c>
      <c r="W11" s="28" t="n">
        <f aca="false">IF(($D11-V11)=0,"",(E11-V11)/($D11-V11))</f>
        <v>0.600802168021228</v>
      </c>
      <c r="X11" s="27" t="n">
        <f aca="false">D11-INDEX(Datos!$F$2:$F$19,MATCH(A11&amp;"|"&amp;B11,Datos!$A$2:$A$19,0))</f>
        <v>0</v>
      </c>
    </row>
    <row r="12" customFormat="false" ht="15" hidden="false" customHeight="false" outlineLevel="0" collapsed="false">
      <c r="A12" s="7" t="s">
        <v>9</v>
      </c>
      <c r="B12" s="7" t="s">
        <v>7</v>
      </c>
      <c r="C12" s="7" t="s">
        <v>67</v>
      </c>
      <c r="D12" s="27" t="n">
        <f aca="false">SUMIFS('Líneas codificadas'!$E$2:$E$49,'Líneas codificadas'!$A$2:$A$49,$A12,'Líneas codificadas'!$B$2:$B$49,$B12)</f>
        <v>24237233</v>
      </c>
      <c r="E12" s="27" t="n">
        <f aca="false">SUMIFS('Líneas codificadas'!$E$2:$E$49,'Líneas codificadas'!$A$2:$A$49,$A12,'Líneas codificadas'!$B$2:$B$49,$B12,'Líneas codificadas'!$F$2:$F$49,"Audiencias",'Líneas codificadas'!$G$2:$G$49,"Pura")</f>
        <v>14095458</v>
      </c>
      <c r="F12" s="27" t="n">
        <f aca="false">SUMIFS('Líneas codificadas'!$E$2:$E$49,'Líneas codificadas'!$A$2:$A$49,$A12,'Líneas codificadas'!$B$2:$B$49,$B12,'Líneas codificadas'!$H$2:$H$49,"S")</f>
        <v>22237233</v>
      </c>
      <c r="G12" s="27" t="n">
        <f aca="false">SUMIFS('Líneas codificadas'!$E$2:$E$49,'Líneas codificadas'!$A$2:$A$49,$A12,'Líneas codificadas'!$B$2:$B$49,$B12,'Líneas codificadas'!$F$2:$F$49,"Contenidos",'Líneas codificadas'!$G$2:$G$49,"Pura")</f>
        <v>0</v>
      </c>
      <c r="H12" s="27" t="n">
        <f aca="false">SUMIFS('Líneas codificadas'!$E$2:$E$49,'Líneas codificadas'!$A$2:$A$49,$A12,'Líneas codificadas'!$B$2:$B$49,$B12,'Líneas codificadas'!$I$2:$I$49,"S")</f>
        <v>8141775</v>
      </c>
      <c r="I12" s="27" t="n">
        <f aca="false">SUMIFS('Líneas codificadas'!$E$2:$E$49,'Líneas codificadas'!$A$2:$A$49,$A12,'Líneas codificadas'!$B$2:$B$49,$B12,'Líneas codificadas'!$F$2:$F$49,"Fuera de Napoli",'Líneas codificadas'!$G$2:$G$49,"Pura")</f>
        <v>2000000</v>
      </c>
      <c r="J12" s="27" t="n">
        <f aca="false">SUMIFS('Líneas codificadas'!$E$2:$E$49,'Líneas codificadas'!$A$2:$A$49,$A12,'Líneas codificadas'!$B$2:$B$49,$B12,'Líneas codificadas'!$J$2:$J$49,"S")</f>
        <v>10141775</v>
      </c>
      <c r="K12" s="27" t="n">
        <f aca="false">SUMIFS('Líneas codificadas'!$E$2:$E$49,'Líneas codificadas'!$A$2:$A$49,$A12,'Líneas codificadas'!$B$2:$B$49,$B12,'Líneas codificadas'!$F$2:$F$49,"Audiencias")</f>
        <v>14095458</v>
      </c>
      <c r="L12" s="27" t="n">
        <f aca="false">SUMIFS('Líneas codificadas'!$E$2:$E$49,'Líneas codificadas'!$A$2:$A$49,$A12,'Líneas codificadas'!$B$2:$B$49,$B12,'Líneas codificadas'!$F$2:$F$49,"Contenidos")</f>
        <v>8141775</v>
      </c>
      <c r="M12" s="27" t="n">
        <f aca="false">SUMIFS('Líneas codificadas'!$E$2:$E$49,'Líneas codificadas'!$A$2:$A$49,$A12,'Líneas codificadas'!$B$2:$B$49,$B12,'Líneas codificadas'!$F$2:$F$49,"Fuera de Napoli")</f>
        <v>2000000</v>
      </c>
      <c r="N12" s="28" t="n">
        <f aca="false">IF($D12=0,"",E12/$D12)</f>
        <v>0.581562177497737</v>
      </c>
      <c r="O12" s="28" t="n">
        <f aca="false">IF($D12=0,"",F12/$D12)</f>
        <v>0.917482329769244</v>
      </c>
      <c r="P12" s="28" t="n">
        <f aca="false">IF($D12=0,"",G12/$D12)</f>
        <v>0</v>
      </c>
      <c r="Q12" s="28" t="n">
        <f aca="false">IF($D12=0,"",H12/$D12)</f>
        <v>0.335920152271507</v>
      </c>
      <c r="R12" s="28" t="n">
        <f aca="false">IF($D12=0,"",I12/$D12)</f>
        <v>0.0825176702307561</v>
      </c>
      <c r="S12" s="28" t="n">
        <f aca="false">IF($D12=0,"",J12/$D12)</f>
        <v>0.418437822502263</v>
      </c>
      <c r="T12" s="28" t="n">
        <f aca="false">IF($D12=0,"",K12/$D12)</f>
        <v>0.581562177497737</v>
      </c>
      <c r="U12" s="28" t="n">
        <f aca="false">IF($D12=0,"",L12/$D12)</f>
        <v>0.335920152271507</v>
      </c>
      <c r="V12" s="27" t="n">
        <f aca="false">SUMIFS('Líneas codificadas'!$E$2:$E$49,'Líneas codificadas'!$A$2:$A$49,$A12,'Líneas codificadas'!$B$2:$B$49,$B12,'Líneas codificadas'!$K$2:$K$49,"Radio/cable")</f>
        <v>0</v>
      </c>
      <c r="W12" s="28" t="n">
        <f aca="false">IF(($D12-V12)=0,"",(E12-V12)/($D12-V12))</f>
        <v>0.581562177497737</v>
      </c>
      <c r="X12" s="27" t="n">
        <f aca="false">D12-INDEX(Datos!$F$2:$F$19,MATCH(A12&amp;"|"&amp;B12,Datos!$A$2:$A$19,0))</f>
        <v>0</v>
      </c>
    </row>
    <row r="13" customFormat="false" ht="15" hidden="false" customHeight="false" outlineLevel="0" collapsed="false">
      <c r="A13" s="7" t="s">
        <v>9</v>
      </c>
      <c r="B13" s="7" t="s">
        <v>8</v>
      </c>
      <c r="C13" s="7" t="s">
        <v>67</v>
      </c>
      <c r="D13" s="27" t="n">
        <f aca="false">SUMIFS('Líneas codificadas'!$E$2:$E$49,'Líneas codificadas'!$A$2:$A$49,$A13,'Líneas codificadas'!$B$2:$B$49,$B13)</f>
        <v>22291139</v>
      </c>
      <c r="E13" s="27" t="n">
        <f aca="false">SUMIFS('Líneas codificadas'!$E$2:$E$49,'Líneas codificadas'!$A$2:$A$49,$A13,'Líneas codificadas'!$B$2:$B$49,$B13,'Líneas codificadas'!$F$2:$F$49,"Audiencias",'Líneas codificadas'!$G$2:$G$49,"Pura")</f>
        <v>12596474</v>
      </c>
      <c r="F13" s="27" t="n">
        <f aca="false">SUMIFS('Líneas codificadas'!$E$2:$E$49,'Líneas codificadas'!$A$2:$A$49,$A13,'Líneas codificadas'!$B$2:$B$49,$B13,'Líneas codificadas'!$H$2:$H$49,"S")</f>
        <v>20587425</v>
      </c>
      <c r="G13" s="27" t="n">
        <f aca="false">SUMIFS('Líneas codificadas'!$E$2:$E$49,'Líneas codificadas'!$A$2:$A$49,$A13,'Líneas codificadas'!$B$2:$B$49,$B13,'Líneas codificadas'!$F$2:$F$49,"Contenidos",'Líneas codificadas'!$G$2:$G$49,"Pura")</f>
        <v>0</v>
      </c>
      <c r="H13" s="27" t="n">
        <f aca="false">SUMIFS('Líneas codificadas'!$E$2:$E$49,'Líneas codificadas'!$A$2:$A$49,$A13,'Líneas codificadas'!$B$2:$B$49,$B13,'Líneas codificadas'!$I$2:$I$49,"S")</f>
        <v>7990951</v>
      </c>
      <c r="I13" s="27" t="n">
        <f aca="false">SUMIFS('Líneas codificadas'!$E$2:$E$49,'Líneas codificadas'!$A$2:$A$49,$A13,'Líneas codificadas'!$B$2:$B$49,$B13,'Líneas codificadas'!$F$2:$F$49,"Fuera de Napoli",'Líneas codificadas'!$G$2:$G$49,"Pura")</f>
        <v>1703714</v>
      </c>
      <c r="J13" s="27" t="n">
        <f aca="false">SUMIFS('Líneas codificadas'!$E$2:$E$49,'Líneas codificadas'!$A$2:$A$49,$A13,'Líneas codificadas'!$B$2:$B$49,$B13,'Líneas codificadas'!$J$2:$J$49,"S")</f>
        <v>9694665</v>
      </c>
      <c r="K13" s="27" t="n">
        <f aca="false">SUMIFS('Líneas codificadas'!$E$2:$E$49,'Líneas codificadas'!$A$2:$A$49,$A13,'Líneas codificadas'!$B$2:$B$49,$B13,'Líneas codificadas'!$F$2:$F$49,"Audiencias")</f>
        <v>12596474</v>
      </c>
      <c r="L13" s="27" t="n">
        <f aca="false">SUMIFS('Líneas codificadas'!$E$2:$E$49,'Líneas codificadas'!$A$2:$A$49,$A13,'Líneas codificadas'!$B$2:$B$49,$B13,'Líneas codificadas'!$F$2:$F$49,"Contenidos")</f>
        <v>7990951</v>
      </c>
      <c r="M13" s="27" t="n">
        <f aca="false">SUMIFS('Líneas codificadas'!$E$2:$E$49,'Líneas codificadas'!$A$2:$A$49,$A13,'Líneas codificadas'!$B$2:$B$49,$B13,'Líneas codificadas'!$F$2:$F$49,"Fuera de Napoli")</f>
        <v>1703714</v>
      </c>
      <c r="N13" s="28" t="n">
        <f aca="false">IF($D13=0,"",E13/$D13)</f>
        <v>0.565088845392781</v>
      </c>
      <c r="O13" s="28" t="n">
        <f aca="false">IF($D13=0,"",F13/$D13)</f>
        <v>0.923569899232157</v>
      </c>
      <c r="P13" s="28" t="n">
        <f aca="false">IF($D13=0,"",G13/$D13)</f>
        <v>0</v>
      </c>
      <c r="Q13" s="28" t="n">
        <f aca="false">IF($D13=0,"",H13/$D13)</f>
        <v>0.358481053839375</v>
      </c>
      <c r="R13" s="28" t="n">
        <f aca="false">IF($D13=0,"",I13/$D13)</f>
        <v>0.0764301007678432</v>
      </c>
      <c r="S13" s="28" t="n">
        <f aca="false">IF($D13=0,"",J13/$D13)</f>
        <v>0.434911154607219</v>
      </c>
      <c r="T13" s="28" t="n">
        <f aca="false">IF($D13=0,"",K13/$D13)</f>
        <v>0.565088845392781</v>
      </c>
      <c r="U13" s="28" t="n">
        <f aca="false">IF($D13=0,"",L13/$D13)</f>
        <v>0.358481053839375</v>
      </c>
      <c r="V13" s="27" t="n">
        <f aca="false">SUMIFS('Líneas codificadas'!$E$2:$E$49,'Líneas codificadas'!$A$2:$A$49,$A13,'Líneas codificadas'!$B$2:$B$49,$B13,'Líneas codificadas'!$K$2:$K$49,"Radio/cable")</f>
        <v>0</v>
      </c>
      <c r="W13" s="28" t="n">
        <f aca="false">IF(($D13-V13)=0,"",(E13-V13)/($D13-V13))</f>
        <v>0.565088845392781</v>
      </c>
      <c r="X13" s="27" t="n">
        <f aca="false">D13-INDEX(Datos!$F$2:$F$19,MATCH(A13&amp;"|"&amp;B13,Datos!$A$2:$A$19,0))</f>
        <v>0</v>
      </c>
    </row>
    <row r="14" customFormat="false" ht="15" hidden="false" customHeight="false" outlineLevel="0" collapsed="false">
      <c r="A14" s="7" t="s">
        <v>14</v>
      </c>
      <c r="B14" s="7" t="s">
        <v>7</v>
      </c>
      <c r="C14" s="7" t="s">
        <v>67</v>
      </c>
      <c r="D14" s="27" t="n">
        <f aca="false">SUMIFS('Líneas codificadas'!$E$2:$E$49,'Líneas codificadas'!$A$2:$A$49,$A14,'Líneas codificadas'!$B$2:$B$49,$B14)</f>
        <v>54549411</v>
      </c>
      <c r="E14" s="27" t="n">
        <f aca="false">SUMIFS('Líneas codificadas'!$E$2:$E$49,'Líneas codificadas'!$A$2:$A$49,$A14,'Líneas codificadas'!$B$2:$B$49,$B14,'Líneas codificadas'!$F$2:$F$49,"Audiencias",'Líneas codificadas'!$G$2:$G$49,"Pura")</f>
        <v>39594862</v>
      </c>
      <c r="F14" s="27" t="n">
        <f aca="false">SUMIFS('Líneas codificadas'!$E$2:$E$49,'Líneas codificadas'!$A$2:$A$49,$A14,'Líneas codificadas'!$B$2:$B$49,$B14,'Líneas codificadas'!$H$2:$H$49,"S")</f>
        <v>39594862</v>
      </c>
      <c r="G14" s="27" t="n">
        <f aca="false">SUMIFS('Líneas codificadas'!$E$2:$E$49,'Líneas codificadas'!$A$2:$A$49,$A14,'Líneas codificadas'!$B$2:$B$49,$B14,'Líneas codificadas'!$F$2:$F$49,"Contenidos",'Líneas codificadas'!$G$2:$G$49,"Pura")</f>
        <v>14954549</v>
      </c>
      <c r="H14" s="27" t="n">
        <f aca="false">SUMIFS('Líneas codificadas'!$E$2:$E$49,'Líneas codificadas'!$A$2:$A$49,$A14,'Líneas codificadas'!$B$2:$B$49,$B14,'Líneas codificadas'!$I$2:$I$49,"S")</f>
        <v>14954549</v>
      </c>
      <c r="I14" s="27" t="n">
        <f aca="false">SUMIFS('Líneas codificadas'!$E$2:$E$49,'Líneas codificadas'!$A$2:$A$49,$A14,'Líneas codificadas'!$B$2:$B$49,$B14,'Líneas codificadas'!$F$2:$F$49,"Fuera de Napoli",'Líneas codificadas'!$G$2:$G$49,"Pura")</f>
        <v>0</v>
      </c>
      <c r="J14" s="27" t="n">
        <f aca="false">SUMIFS('Líneas codificadas'!$E$2:$E$49,'Líneas codificadas'!$A$2:$A$49,$A14,'Líneas codificadas'!$B$2:$B$49,$B14,'Líneas codificadas'!$J$2:$J$49,"S")</f>
        <v>0</v>
      </c>
      <c r="K14" s="27" t="n">
        <f aca="false">SUMIFS('Líneas codificadas'!$E$2:$E$49,'Líneas codificadas'!$A$2:$A$49,$A14,'Líneas codificadas'!$B$2:$B$49,$B14,'Líneas codificadas'!$F$2:$F$49,"Audiencias")</f>
        <v>39594862</v>
      </c>
      <c r="L14" s="27" t="n">
        <f aca="false">SUMIFS('Líneas codificadas'!$E$2:$E$49,'Líneas codificadas'!$A$2:$A$49,$A14,'Líneas codificadas'!$B$2:$B$49,$B14,'Líneas codificadas'!$F$2:$F$49,"Contenidos")</f>
        <v>14954549</v>
      </c>
      <c r="M14" s="27" t="n">
        <f aca="false">SUMIFS('Líneas codificadas'!$E$2:$E$49,'Líneas codificadas'!$A$2:$A$49,$A14,'Líneas codificadas'!$B$2:$B$49,$B14,'Líneas codificadas'!$F$2:$F$49,"Fuera de Napoli")</f>
        <v>0</v>
      </c>
      <c r="N14" s="28" t="n">
        <f aca="false">IF($D14=0,"",E14/$D14)</f>
        <v>0.725853153574839</v>
      </c>
      <c r="O14" s="28" t="n">
        <f aca="false">IF($D14=0,"",F14/$D14)</f>
        <v>0.725853153574839</v>
      </c>
      <c r="P14" s="28" t="n">
        <f aca="false">IF($D14=0,"",G14/$D14)</f>
        <v>0.274146846425161</v>
      </c>
      <c r="Q14" s="28" t="n">
        <f aca="false">IF($D14=0,"",H14/$D14)</f>
        <v>0.274146846425161</v>
      </c>
      <c r="R14" s="28" t="n">
        <f aca="false">IF($D14=0,"",I14/$D14)</f>
        <v>0</v>
      </c>
      <c r="S14" s="28" t="n">
        <f aca="false">IF($D14=0,"",J14/$D14)</f>
        <v>0</v>
      </c>
      <c r="T14" s="28" t="n">
        <f aca="false">IF($D14=0,"",K14/$D14)</f>
        <v>0.725853153574839</v>
      </c>
      <c r="U14" s="28" t="n">
        <f aca="false">IF($D14=0,"",L14/$D14)</f>
        <v>0.274146846425161</v>
      </c>
      <c r="V14" s="27" t="n">
        <f aca="false">SUMIFS('Líneas codificadas'!$E$2:$E$49,'Líneas codificadas'!$A$2:$A$49,$A14,'Líneas codificadas'!$B$2:$B$49,$B14,'Líneas codificadas'!$K$2:$K$49,"Radio/cable")</f>
        <v>3350704</v>
      </c>
      <c r="W14" s="28" t="n">
        <f aca="false">IF(($D14-V14)=0,"",(E14-V14)/($D14-V14))</f>
        <v>0.707911588470389</v>
      </c>
      <c r="X14" s="27" t="n">
        <f aca="false">D14-INDEX(Datos!$F$2:$F$19,MATCH(A14&amp;"|"&amp;B14,Datos!$A$2:$A$19,0))</f>
        <v>0</v>
      </c>
    </row>
    <row r="15" customFormat="false" ht="15" hidden="false" customHeight="false" outlineLevel="0" collapsed="false">
      <c r="A15" s="7" t="s">
        <v>14</v>
      </c>
      <c r="B15" s="7" t="s">
        <v>88</v>
      </c>
      <c r="C15" s="7" t="s">
        <v>67</v>
      </c>
      <c r="D15" s="27" t="n">
        <f aca="false">SUMIFS('Líneas codificadas'!$E$2:$E$49,'Líneas codificadas'!$A$2:$A$49,$A15,'Líneas codificadas'!$B$2:$B$49,$B15)</f>
        <v>30354736</v>
      </c>
      <c r="E15" s="27" t="n">
        <f aca="false">SUMIFS('Líneas codificadas'!$E$2:$E$49,'Líneas codificadas'!$A$2:$A$49,$A15,'Líneas codificadas'!$B$2:$B$49,$B15,'Líneas codificadas'!$F$2:$F$49,"Audiencias",'Líneas codificadas'!$G$2:$G$49,"Pura")</f>
        <v>24845102</v>
      </c>
      <c r="F15" s="27" t="n">
        <f aca="false">SUMIFS('Líneas codificadas'!$E$2:$E$49,'Líneas codificadas'!$A$2:$A$49,$A15,'Líneas codificadas'!$B$2:$B$49,$B15,'Líneas codificadas'!$H$2:$H$49,"S")</f>
        <v>24845102</v>
      </c>
      <c r="G15" s="27" t="n">
        <f aca="false">SUMIFS('Líneas codificadas'!$E$2:$E$49,'Líneas codificadas'!$A$2:$A$49,$A15,'Líneas codificadas'!$B$2:$B$49,$B15,'Líneas codificadas'!$F$2:$F$49,"Contenidos",'Líneas codificadas'!$G$2:$G$49,"Pura")</f>
        <v>5509634</v>
      </c>
      <c r="H15" s="27" t="n">
        <f aca="false">SUMIFS('Líneas codificadas'!$E$2:$E$49,'Líneas codificadas'!$A$2:$A$49,$A15,'Líneas codificadas'!$B$2:$B$49,$B15,'Líneas codificadas'!$I$2:$I$49,"S")</f>
        <v>5509634</v>
      </c>
      <c r="I15" s="27" t="n">
        <f aca="false">SUMIFS('Líneas codificadas'!$E$2:$E$49,'Líneas codificadas'!$A$2:$A$49,$A15,'Líneas codificadas'!$B$2:$B$49,$B15,'Líneas codificadas'!$F$2:$F$49,"Fuera de Napoli",'Líneas codificadas'!$G$2:$G$49,"Pura")</f>
        <v>0</v>
      </c>
      <c r="J15" s="27" t="n">
        <f aca="false">SUMIFS('Líneas codificadas'!$E$2:$E$49,'Líneas codificadas'!$A$2:$A$49,$A15,'Líneas codificadas'!$B$2:$B$49,$B15,'Líneas codificadas'!$J$2:$J$49,"S")</f>
        <v>0</v>
      </c>
      <c r="K15" s="27" t="n">
        <f aca="false">SUMIFS('Líneas codificadas'!$E$2:$E$49,'Líneas codificadas'!$A$2:$A$49,$A15,'Líneas codificadas'!$B$2:$B$49,$B15,'Líneas codificadas'!$F$2:$F$49,"Audiencias")</f>
        <v>24845102</v>
      </c>
      <c r="L15" s="27" t="n">
        <f aca="false">SUMIFS('Líneas codificadas'!$E$2:$E$49,'Líneas codificadas'!$A$2:$A$49,$A15,'Líneas codificadas'!$B$2:$B$49,$B15,'Líneas codificadas'!$F$2:$F$49,"Contenidos")</f>
        <v>5509634</v>
      </c>
      <c r="M15" s="27" t="n">
        <f aca="false">SUMIFS('Líneas codificadas'!$E$2:$E$49,'Líneas codificadas'!$A$2:$A$49,$A15,'Líneas codificadas'!$B$2:$B$49,$B15,'Líneas codificadas'!$F$2:$F$49,"Fuera de Napoli")</f>
        <v>0</v>
      </c>
      <c r="N15" s="28" t="n">
        <f aca="false">IF($D15=0,"",E15/$D15)</f>
        <v>0.81849178329207</v>
      </c>
      <c r="O15" s="28" t="n">
        <f aca="false">IF($D15=0,"",F15/$D15)</f>
        <v>0.81849178329207</v>
      </c>
      <c r="P15" s="28" t="n">
        <f aca="false">IF($D15=0,"",G15/$D15)</f>
        <v>0.18150821670793</v>
      </c>
      <c r="Q15" s="28" t="n">
        <f aca="false">IF($D15=0,"",H15/$D15)</f>
        <v>0.18150821670793</v>
      </c>
      <c r="R15" s="28" t="n">
        <f aca="false">IF($D15=0,"",I15/$D15)</f>
        <v>0</v>
      </c>
      <c r="S15" s="28" t="n">
        <f aca="false">IF($D15=0,"",J15/$D15)</f>
        <v>0</v>
      </c>
      <c r="T15" s="28" t="n">
        <f aca="false">IF($D15=0,"",K15/$D15)</f>
        <v>0.81849178329207</v>
      </c>
      <c r="U15" s="28" t="n">
        <f aca="false">IF($D15=0,"",L15/$D15)</f>
        <v>0.18150821670793</v>
      </c>
      <c r="V15" s="27" t="n">
        <f aca="false">SUMIFS('Líneas codificadas'!$E$2:$E$49,'Líneas codificadas'!$A$2:$A$49,$A15,'Líneas codificadas'!$B$2:$B$49,$B15,'Líneas codificadas'!$K$2:$K$49,"Radio/cable")</f>
        <v>2197367</v>
      </c>
      <c r="W15" s="28" t="n">
        <f aca="false">IF(($D15-V15)=0,"",(E15-V15)/($D15-V15))</f>
        <v>0.804327101726017</v>
      </c>
      <c r="X15" s="27" t="n">
        <f aca="false">D15-INDEX(Datos!$F$2:$F$19,MATCH(A15&amp;"|"&amp;B15,Datos!$A$2:$A$19,0))</f>
        <v>0</v>
      </c>
    </row>
    <row r="16" customFormat="false" ht="15" hidden="false" customHeight="false" outlineLevel="0" collapsed="false">
      <c r="A16" s="7" t="s">
        <v>14</v>
      </c>
      <c r="B16" s="7" t="s">
        <v>8</v>
      </c>
      <c r="C16" s="7" t="s">
        <v>67</v>
      </c>
      <c r="D16" s="27" t="n">
        <f aca="false">SUMIFS('Líneas codificadas'!$E$2:$E$49,'Líneas codificadas'!$A$2:$A$49,$A16,'Líneas codificadas'!$B$2:$B$49,$B16)</f>
        <v>56434970</v>
      </c>
      <c r="E16" s="27" t="n">
        <f aca="false">SUMIFS('Líneas codificadas'!$E$2:$E$49,'Líneas codificadas'!$A$2:$A$49,$A16,'Líneas codificadas'!$B$2:$B$49,$B16,'Líneas codificadas'!$F$2:$F$49,"Audiencias",'Líneas codificadas'!$G$2:$G$49,"Pura")</f>
        <v>46331037</v>
      </c>
      <c r="F16" s="27" t="n">
        <f aca="false">SUMIFS('Líneas codificadas'!$E$2:$E$49,'Líneas codificadas'!$A$2:$A$49,$A16,'Líneas codificadas'!$B$2:$B$49,$B16,'Líneas codificadas'!$H$2:$H$49,"S")</f>
        <v>46331037</v>
      </c>
      <c r="G16" s="27" t="n">
        <f aca="false">SUMIFS('Líneas codificadas'!$E$2:$E$49,'Líneas codificadas'!$A$2:$A$49,$A16,'Líneas codificadas'!$B$2:$B$49,$B16,'Líneas codificadas'!$F$2:$F$49,"Contenidos",'Líneas codificadas'!$G$2:$G$49,"Pura")</f>
        <v>10103933</v>
      </c>
      <c r="H16" s="27" t="n">
        <f aca="false">SUMIFS('Líneas codificadas'!$E$2:$E$49,'Líneas codificadas'!$A$2:$A$49,$A16,'Líneas codificadas'!$B$2:$B$49,$B16,'Líneas codificadas'!$I$2:$I$49,"S")</f>
        <v>10103933</v>
      </c>
      <c r="I16" s="27" t="n">
        <f aca="false">SUMIFS('Líneas codificadas'!$E$2:$E$49,'Líneas codificadas'!$A$2:$A$49,$A16,'Líneas codificadas'!$B$2:$B$49,$B16,'Líneas codificadas'!$F$2:$F$49,"Fuera de Napoli",'Líneas codificadas'!$G$2:$G$49,"Pura")</f>
        <v>0</v>
      </c>
      <c r="J16" s="27" t="n">
        <f aca="false">SUMIFS('Líneas codificadas'!$E$2:$E$49,'Líneas codificadas'!$A$2:$A$49,$A16,'Líneas codificadas'!$B$2:$B$49,$B16,'Líneas codificadas'!$J$2:$J$49,"S")</f>
        <v>0</v>
      </c>
      <c r="K16" s="27" t="n">
        <f aca="false">SUMIFS('Líneas codificadas'!$E$2:$E$49,'Líneas codificadas'!$A$2:$A$49,$A16,'Líneas codificadas'!$B$2:$B$49,$B16,'Líneas codificadas'!$F$2:$F$49,"Audiencias")</f>
        <v>46331037</v>
      </c>
      <c r="L16" s="27" t="n">
        <f aca="false">SUMIFS('Líneas codificadas'!$E$2:$E$49,'Líneas codificadas'!$A$2:$A$49,$A16,'Líneas codificadas'!$B$2:$B$49,$B16,'Líneas codificadas'!$F$2:$F$49,"Contenidos")</f>
        <v>10103933</v>
      </c>
      <c r="M16" s="27" t="n">
        <f aca="false">SUMIFS('Líneas codificadas'!$E$2:$E$49,'Líneas codificadas'!$A$2:$A$49,$A16,'Líneas codificadas'!$B$2:$B$49,$B16,'Líneas codificadas'!$F$2:$F$49,"Fuera de Napoli")</f>
        <v>0</v>
      </c>
      <c r="N16" s="28" t="n">
        <f aca="false">IF($D16=0,"",E16/$D16)</f>
        <v>0.820963260900112</v>
      </c>
      <c r="O16" s="28" t="n">
        <f aca="false">IF($D16=0,"",F16/$D16)</f>
        <v>0.820963260900112</v>
      </c>
      <c r="P16" s="28" t="n">
        <f aca="false">IF($D16=0,"",G16/$D16)</f>
        <v>0.179036739099888</v>
      </c>
      <c r="Q16" s="28" t="n">
        <f aca="false">IF($D16=0,"",H16/$D16)</f>
        <v>0.179036739099888</v>
      </c>
      <c r="R16" s="28" t="n">
        <f aca="false">IF($D16=0,"",I16/$D16)</f>
        <v>0</v>
      </c>
      <c r="S16" s="28" t="n">
        <f aca="false">IF($D16=0,"",J16/$D16)</f>
        <v>0</v>
      </c>
      <c r="T16" s="28" t="n">
        <f aca="false">IF($D16=0,"",K16/$D16)</f>
        <v>0.820963260900112</v>
      </c>
      <c r="U16" s="28" t="n">
        <f aca="false">IF($D16=0,"",L16/$D16)</f>
        <v>0.179036739099888</v>
      </c>
      <c r="V16" s="27" t="n">
        <f aca="false">SUMIFS('Líneas codificadas'!$E$2:$E$49,'Líneas codificadas'!$A$2:$A$49,$A16,'Líneas codificadas'!$B$2:$B$49,$B16,'Líneas codificadas'!$K$2:$K$49,"Radio/cable")</f>
        <v>4223409</v>
      </c>
      <c r="W16" s="28" t="n">
        <f aca="false">IF(($D16-V16)=0,"",(E16-V16)/($D16-V16))</f>
        <v>0.806480924789818</v>
      </c>
      <c r="X16" s="27" t="n">
        <f aca="false">D16-INDEX(Datos!$F$2:$F$19,MATCH(A16&amp;"|"&amp;B16,Datos!$A$2:$A$19,0))</f>
        <v>0</v>
      </c>
    </row>
    <row r="17" customFormat="false" ht="15" hidden="false" customHeight="false" outlineLevel="0" collapsed="false">
      <c r="A17" s="7" t="s">
        <v>15</v>
      </c>
      <c r="B17" s="7" t="s">
        <v>7</v>
      </c>
      <c r="C17" s="7" t="s">
        <v>67</v>
      </c>
      <c r="D17" s="27" t="n">
        <f aca="false">SUMIFS('Líneas codificadas'!$E$2:$E$49,'Líneas codificadas'!$A$2:$A$49,$A17,'Líneas codificadas'!$B$2:$B$49,$B17)</f>
        <v>35226547</v>
      </c>
      <c r="E17" s="27" t="n">
        <f aca="false">SUMIFS('Líneas codificadas'!$E$2:$E$49,'Líneas codificadas'!$A$2:$A$49,$A17,'Líneas codificadas'!$B$2:$B$49,$B17,'Líneas codificadas'!$F$2:$F$49,"Audiencias",'Líneas codificadas'!$G$2:$G$49,"Pura")</f>
        <v>33494199</v>
      </c>
      <c r="F17" s="27" t="n">
        <f aca="false">SUMIFS('Líneas codificadas'!$E$2:$E$49,'Líneas codificadas'!$A$2:$A$49,$A17,'Líneas codificadas'!$B$2:$B$49,$B17,'Líneas codificadas'!$H$2:$H$49,"S")</f>
        <v>35226547</v>
      </c>
      <c r="G17" s="27" t="n">
        <f aca="false">SUMIFS('Líneas codificadas'!$E$2:$E$49,'Líneas codificadas'!$A$2:$A$49,$A17,'Líneas codificadas'!$B$2:$B$49,$B17,'Líneas codificadas'!$F$2:$F$49,"Contenidos",'Líneas codificadas'!$G$2:$G$49,"Pura")</f>
        <v>0</v>
      </c>
      <c r="H17" s="27" t="n">
        <f aca="false">SUMIFS('Líneas codificadas'!$E$2:$E$49,'Líneas codificadas'!$A$2:$A$49,$A17,'Líneas codificadas'!$B$2:$B$49,$B17,'Líneas codificadas'!$I$2:$I$49,"S")</f>
        <v>1732348</v>
      </c>
      <c r="I17" s="27" t="n">
        <f aca="false">SUMIFS('Líneas codificadas'!$E$2:$E$49,'Líneas codificadas'!$A$2:$A$49,$A17,'Líneas codificadas'!$B$2:$B$49,$B17,'Líneas codificadas'!$F$2:$F$49,"Fuera de Napoli",'Líneas codificadas'!$G$2:$G$49,"Pura")</f>
        <v>0</v>
      </c>
      <c r="J17" s="27" t="n">
        <f aca="false">SUMIFS('Líneas codificadas'!$E$2:$E$49,'Líneas codificadas'!$A$2:$A$49,$A17,'Líneas codificadas'!$B$2:$B$49,$B17,'Líneas codificadas'!$J$2:$J$49,"S")</f>
        <v>1732348</v>
      </c>
      <c r="K17" s="27" t="n">
        <f aca="false">SUMIFS('Líneas codificadas'!$E$2:$E$49,'Líneas codificadas'!$A$2:$A$49,$A17,'Líneas codificadas'!$B$2:$B$49,$B17,'Líneas codificadas'!$F$2:$F$49,"Audiencias")</f>
        <v>33494199</v>
      </c>
      <c r="L17" s="27" t="n">
        <f aca="false">SUMIFS('Líneas codificadas'!$E$2:$E$49,'Líneas codificadas'!$A$2:$A$49,$A17,'Líneas codificadas'!$B$2:$B$49,$B17,'Líneas codificadas'!$F$2:$F$49,"Contenidos")</f>
        <v>1732348</v>
      </c>
      <c r="M17" s="27" t="n">
        <f aca="false">SUMIFS('Líneas codificadas'!$E$2:$E$49,'Líneas codificadas'!$A$2:$A$49,$A17,'Líneas codificadas'!$B$2:$B$49,$B17,'Líneas codificadas'!$F$2:$F$49,"Fuera de Napoli")</f>
        <v>0</v>
      </c>
      <c r="N17" s="28" t="n">
        <f aca="false">IF($D17=0,"",E17/$D17)</f>
        <v>0.95082265656069</v>
      </c>
      <c r="O17" s="28" t="n">
        <f aca="false">IF($D17=0,"",F17/$D17)</f>
        <v>1</v>
      </c>
      <c r="P17" s="28" t="n">
        <f aca="false">IF($D17=0,"",G17/$D17)</f>
        <v>0</v>
      </c>
      <c r="Q17" s="28" t="n">
        <f aca="false">IF($D17=0,"",H17/$D17)</f>
        <v>0.0491773434393101</v>
      </c>
      <c r="R17" s="28" t="n">
        <f aca="false">IF($D17=0,"",I17/$D17)</f>
        <v>0</v>
      </c>
      <c r="S17" s="28" t="n">
        <f aca="false">IF($D17=0,"",J17/$D17)</f>
        <v>0.0491773434393101</v>
      </c>
      <c r="T17" s="28" t="n">
        <f aca="false">IF($D17=0,"",K17/$D17)</f>
        <v>0.95082265656069</v>
      </c>
      <c r="U17" s="28" t="n">
        <f aca="false">IF($D17=0,"",L17/$D17)</f>
        <v>0.0491773434393101</v>
      </c>
      <c r="V17" s="27" t="n">
        <f aca="false">SUMIFS('Líneas codificadas'!$E$2:$E$49,'Líneas codificadas'!$A$2:$A$49,$A17,'Líneas codificadas'!$B$2:$B$49,$B17,'Líneas codificadas'!$K$2:$K$49,"Radio/cable")</f>
        <v>0</v>
      </c>
      <c r="W17" s="28" t="n">
        <f aca="false">IF(($D17-V17)=0,"",(E17-V17)/($D17-V17))</f>
        <v>0.95082265656069</v>
      </c>
      <c r="X17" s="27" t="n">
        <f aca="false">D17-INDEX(Datos!$F$2:$F$19,MATCH(A17&amp;"|"&amp;B17,Datos!$A$2:$A$19,0))</f>
        <v>0</v>
      </c>
    </row>
    <row r="18" customFormat="false" ht="15" hidden="false" customHeight="false" outlineLevel="0" collapsed="false">
      <c r="A18" s="7" t="s">
        <v>15</v>
      </c>
      <c r="B18" s="7" t="s">
        <v>88</v>
      </c>
      <c r="C18" s="7" t="s">
        <v>67</v>
      </c>
      <c r="D18" s="27" t="n">
        <f aca="false">SUMIFS('Líneas codificadas'!$E$2:$E$49,'Líneas codificadas'!$A$2:$A$49,$A18,'Líneas codificadas'!$B$2:$B$49,$B18)</f>
        <v>15107634</v>
      </c>
      <c r="E18" s="27" t="n">
        <f aca="false">SUMIFS('Líneas codificadas'!$E$2:$E$49,'Líneas codificadas'!$A$2:$A$49,$A18,'Líneas codificadas'!$B$2:$B$49,$B18,'Líneas codificadas'!$F$2:$F$49,"Audiencias",'Líneas codificadas'!$G$2:$G$49,"Pura")</f>
        <v>13733801</v>
      </c>
      <c r="F18" s="27" t="n">
        <f aca="false">SUMIFS('Líneas codificadas'!$E$2:$E$49,'Líneas codificadas'!$A$2:$A$49,$A18,'Líneas codificadas'!$B$2:$B$49,$B18,'Líneas codificadas'!$H$2:$H$49,"S")</f>
        <v>15107634</v>
      </c>
      <c r="G18" s="27" t="n">
        <f aca="false">SUMIFS('Líneas codificadas'!$E$2:$E$49,'Líneas codificadas'!$A$2:$A$49,$A18,'Líneas codificadas'!$B$2:$B$49,$B18,'Líneas codificadas'!$F$2:$F$49,"Contenidos",'Líneas codificadas'!$G$2:$G$49,"Pura")</f>
        <v>0</v>
      </c>
      <c r="H18" s="27" t="n">
        <f aca="false">SUMIFS('Líneas codificadas'!$E$2:$E$49,'Líneas codificadas'!$A$2:$A$49,$A18,'Líneas codificadas'!$B$2:$B$49,$B18,'Líneas codificadas'!$I$2:$I$49,"S")</f>
        <v>1373833</v>
      </c>
      <c r="I18" s="27" t="n">
        <f aca="false">SUMIFS('Líneas codificadas'!$E$2:$E$49,'Líneas codificadas'!$A$2:$A$49,$A18,'Líneas codificadas'!$B$2:$B$49,$B18,'Líneas codificadas'!$F$2:$F$49,"Fuera de Napoli",'Líneas codificadas'!$G$2:$G$49,"Pura")</f>
        <v>0</v>
      </c>
      <c r="J18" s="27" t="n">
        <f aca="false">SUMIFS('Líneas codificadas'!$E$2:$E$49,'Líneas codificadas'!$A$2:$A$49,$A18,'Líneas codificadas'!$B$2:$B$49,$B18,'Líneas codificadas'!$J$2:$J$49,"S")</f>
        <v>1373833</v>
      </c>
      <c r="K18" s="27" t="n">
        <f aca="false">SUMIFS('Líneas codificadas'!$E$2:$E$49,'Líneas codificadas'!$A$2:$A$49,$A18,'Líneas codificadas'!$B$2:$B$49,$B18,'Líneas codificadas'!$F$2:$F$49,"Audiencias")</f>
        <v>13733801</v>
      </c>
      <c r="L18" s="27" t="n">
        <f aca="false">SUMIFS('Líneas codificadas'!$E$2:$E$49,'Líneas codificadas'!$A$2:$A$49,$A18,'Líneas codificadas'!$B$2:$B$49,$B18,'Líneas codificadas'!$F$2:$F$49,"Contenidos")</f>
        <v>1373833</v>
      </c>
      <c r="M18" s="27" t="n">
        <f aca="false">SUMIFS('Líneas codificadas'!$E$2:$E$49,'Líneas codificadas'!$A$2:$A$49,$A18,'Líneas codificadas'!$B$2:$B$49,$B18,'Líneas codificadas'!$F$2:$F$49,"Fuera de Napoli")</f>
        <v>0</v>
      </c>
      <c r="N18" s="28" t="n">
        <f aca="false">IF($D18=0,"",E18/$D18)</f>
        <v>0.909063656162176</v>
      </c>
      <c r="O18" s="28" t="n">
        <f aca="false">IF($D18=0,"",F18/$D18)</f>
        <v>1</v>
      </c>
      <c r="P18" s="28" t="n">
        <f aca="false">IF($D18=0,"",G18/$D18)</f>
        <v>0</v>
      </c>
      <c r="Q18" s="28" t="n">
        <f aca="false">IF($D18=0,"",H18/$D18)</f>
        <v>0.090936343837824</v>
      </c>
      <c r="R18" s="28" t="n">
        <f aca="false">IF($D18=0,"",I18/$D18)</f>
        <v>0</v>
      </c>
      <c r="S18" s="28" t="n">
        <f aca="false">IF($D18=0,"",J18/$D18)</f>
        <v>0.090936343837824</v>
      </c>
      <c r="T18" s="28" t="n">
        <f aca="false">IF($D18=0,"",K18/$D18)</f>
        <v>0.909063656162176</v>
      </c>
      <c r="U18" s="28" t="n">
        <f aca="false">IF($D18=0,"",L18/$D18)</f>
        <v>0.090936343837824</v>
      </c>
      <c r="V18" s="27" t="n">
        <f aca="false">SUMIFS('Líneas codificadas'!$E$2:$E$49,'Líneas codificadas'!$A$2:$A$49,$A18,'Líneas codificadas'!$B$2:$B$49,$B18,'Líneas codificadas'!$K$2:$K$49,"Radio/cable")</f>
        <v>0</v>
      </c>
      <c r="W18" s="28" t="n">
        <f aca="false">IF(($D18-V18)=0,"",(E18-V18)/($D18-V18))</f>
        <v>0.909063656162176</v>
      </c>
      <c r="X18" s="27" t="n">
        <f aca="false">D18-INDEX(Datos!$F$2:$F$19,MATCH(A18&amp;"|"&amp;B18,Datos!$A$2:$A$19,0))</f>
        <v>0</v>
      </c>
    </row>
    <row r="19" customFormat="false" ht="15" hidden="false" customHeight="false" outlineLevel="0" collapsed="false">
      <c r="A19" s="7" t="s">
        <v>15</v>
      </c>
      <c r="B19" s="7" t="s">
        <v>8</v>
      </c>
      <c r="C19" s="7" t="s">
        <v>67</v>
      </c>
      <c r="D19" s="27" t="n">
        <f aca="false">SUMIFS('Líneas codificadas'!$E$2:$E$49,'Líneas codificadas'!$A$2:$A$49,$A19,'Líneas codificadas'!$B$2:$B$49,$B19)</f>
        <v>36231357</v>
      </c>
      <c r="E19" s="27" t="n">
        <f aca="false">SUMIFS('Líneas codificadas'!$E$2:$E$49,'Líneas codificadas'!$A$2:$A$49,$A19,'Líneas codificadas'!$B$2:$B$49,$B19,'Líneas codificadas'!$F$2:$F$49,"Audiencias",'Líneas codificadas'!$G$2:$G$49,"Pura")</f>
        <v>32933666</v>
      </c>
      <c r="F19" s="27" t="n">
        <f aca="false">SUMIFS('Líneas codificadas'!$E$2:$E$49,'Líneas codificadas'!$A$2:$A$49,$A19,'Líneas codificadas'!$B$2:$B$49,$B19,'Líneas codificadas'!$H$2:$H$49,"S")</f>
        <v>36231357</v>
      </c>
      <c r="G19" s="27" t="n">
        <f aca="false">SUMIFS('Líneas codificadas'!$E$2:$E$49,'Líneas codificadas'!$A$2:$A$49,$A19,'Líneas codificadas'!$B$2:$B$49,$B19,'Líneas codificadas'!$F$2:$F$49,"Contenidos",'Líneas codificadas'!$G$2:$G$49,"Pura")</f>
        <v>0</v>
      </c>
      <c r="H19" s="27" t="n">
        <f aca="false">SUMIFS('Líneas codificadas'!$E$2:$E$49,'Líneas codificadas'!$A$2:$A$49,$A19,'Líneas codificadas'!$B$2:$B$49,$B19,'Líneas codificadas'!$I$2:$I$49,"S")</f>
        <v>3297691</v>
      </c>
      <c r="I19" s="27" t="n">
        <f aca="false">SUMIFS('Líneas codificadas'!$E$2:$E$49,'Líneas codificadas'!$A$2:$A$49,$A19,'Líneas codificadas'!$B$2:$B$49,$B19,'Líneas codificadas'!$F$2:$F$49,"Fuera de Napoli",'Líneas codificadas'!$G$2:$G$49,"Pura")</f>
        <v>0</v>
      </c>
      <c r="J19" s="27" t="n">
        <f aca="false">SUMIFS('Líneas codificadas'!$E$2:$E$49,'Líneas codificadas'!$A$2:$A$49,$A19,'Líneas codificadas'!$B$2:$B$49,$B19,'Líneas codificadas'!$J$2:$J$49,"S")</f>
        <v>3297691</v>
      </c>
      <c r="K19" s="27" t="n">
        <f aca="false">SUMIFS('Líneas codificadas'!$E$2:$E$49,'Líneas codificadas'!$A$2:$A$49,$A19,'Líneas codificadas'!$B$2:$B$49,$B19,'Líneas codificadas'!$F$2:$F$49,"Audiencias")</f>
        <v>32933666</v>
      </c>
      <c r="L19" s="27" t="n">
        <f aca="false">SUMIFS('Líneas codificadas'!$E$2:$E$49,'Líneas codificadas'!$A$2:$A$49,$A19,'Líneas codificadas'!$B$2:$B$49,$B19,'Líneas codificadas'!$F$2:$F$49,"Contenidos")</f>
        <v>3297691</v>
      </c>
      <c r="M19" s="27" t="n">
        <f aca="false">SUMIFS('Líneas codificadas'!$E$2:$E$49,'Líneas codificadas'!$A$2:$A$49,$A19,'Líneas codificadas'!$B$2:$B$49,$B19,'Líneas codificadas'!$F$2:$F$49,"Fuera de Napoli")</f>
        <v>0</v>
      </c>
      <c r="N19" s="28" t="n">
        <f aca="false">IF($D19=0,"",E19/$D19)</f>
        <v>0.90898240438524</v>
      </c>
      <c r="O19" s="28" t="n">
        <f aca="false">IF($D19=0,"",F19/$D19)</f>
        <v>1</v>
      </c>
      <c r="P19" s="28" t="n">
        <f aca="false">IF($D19=0,"",G19/$D19)</f>
        <v>0</v>
      </c>
      <c r="Q19" s="28" t="n">
        <f aca="false">IF($D19=0,"",H19/$D19)</f>
        <v>0.0910175956147599</v>
      </c>
      <c r="R19" s="28" t="n">
        <f aca="false">IF($D19=0,"",I19/$D19)</f>
        <v>0</v>
      </c>
      <c r="S19" s="28" t="n">
        <f aca="false">IF($D19=0,"",J19/$D19)</f>
        <v>0.0910175956147599</v>
      </c>
      <c r="T19" s="28" t="n">
        <f aca="false">IF($D19=0,"",K19/$D19)</f>
        <v>0.90898240438524</v>
      </c>
      <c r="U19" s="28" t="n">
        <f aca="false">IF($D19=0,"",L19/$D19)</f>
        <v>0.0910175956147599</v>
      </c>
      <c r="V19" s="27" t="n">
        <f aca="false">SUMIFS('Líneas codificadas'!$E$2:$E$49,'Líneas codificadas'!$A$2:$A$49,$A19,'Líneas codificadas'!$B$2:$B$49,$B19,'Líneas codificadas'!$K$2:$K$49,"Radio/cable")</f>
        <v>0</v>
      </c>
      <c r="W19" s="28" t="n">
        <f aca="false">IF(($D19-V19)=0,"",(E19-V19)/($D19-V19))</f>
        <v>0.90898240438524</v>
      </c>
      <c r="X19" s="27" t="n">
        <f aca="false">D19-INDEX(Datos!$F$2:$F$19,MATCH(A19&amp;"|"&amp;B19,Datos!$A$2:$A$19,0))</f>
        <v>0</v>
      </c>
    </row>
    <row r="21" customFormat="false" ht="15" hidden="false" customHeight="false" outlineLevel="0" collapsed="false">
      <c r="A21" s="1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5"/>
    <col collapsed="false" customWidth="true" hidden="false" outlineLevel="0" max="3" min="3" style="0" width="28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29" t="s">
        <v>3</v>
      </c>
      <c r="B1" s="29" t="s">
        <v>185</v>
      </c>
      <c r="C1" s="29" t="s">
        <v>186</v>
      </c>
      <c r="D1" s="29" t="s">
        <v>187</v>
      </c>
    </row>
    <row r="2" customFormat="false" ht="15" hidden="false" customHeight="false" outlineLevel="0" collapsed="false">
      <c r="A2" s="30" t="s">
        <v>13</v>
      </c>
      <c r="B2" s="30" t="s">
        <v>114</v>
      </c>
      <c r="C2" s="30" t="s">
        <v>188</v>
      </c>
      <c r="D2" s="30"/>
    </row>
    <row r="3" customFormat="false" ht="15" hidden="false" customHeight="false" outlineLevel="0" collapsed="false">
      <c r="A3" s="30" t="s">
        <v>13</v>
      </c>
      <c r="B3" s="30" t="s">
        <v>122</v>
      </c>
      <c r="C3" s="30" t="s">
        <v>189</v>
      </c>
      <c r="D3" s="30"/>
    </row>
    <row r="4" customFormat="false" ht="23.85" hidden="false" customHeight="false" outlineLevel="0" collapsed="false">
      <c r="A4" s="30" t="s">
        <v>13</v>
      </c>
      <c r="B4" s="30" t="s">
        <v>125</v>
      </c>
      <c r="C4" s="30" t="s">
        <v>190</v>
      </c>
      <c r="D4" s="30" t="s">
        <v>191</v>
      </c>
    </row>
    <row r="5" customFormat="false" ht="15" hidden="false" customHeight="false" outlineLevel="0" collapsed="false">
      <c r="A5" s="30" t="s">
        <v>14</v>
      </c>
      <c r="B5" s="30" t="s">
        <v>132</v>
      </c>
      <c r="C5" s="30" t="s">
        <v>192</v>
      </c>
      <c r="D5" s="30" t="s">
        <v>193</v>
      </c>
    </row>
    <row r="6" customFormat="false" ht="15" hidden="false" customHeight="false" outlineLevel="0" collapsed="false">
      <c r="A6" s="30" t="s">
        <v>14</v>
      </c>
      <c r="B6" s="30" t="s">
        <v>139</v>
      </c>
      <c r="C6" s="30" t="s">
        <v>194</v>
      </c>
      <c r="D6" s="30" t="s">
        <v>195</v>
      </c>
    </row>
    <row r="7" customFormat="false" ht="23.85" hidden="false" customHeight="false" outlineLevel="0" collapsed="false">
      <c r="A7" s="30" t="s">
        <v>14</v>
      </c>
      <c r="B7" s="30" t="s">
        <v>136</v>
      </c>
      <c r="C7" s="30" t="s">
        <v>190</v>
      </c>
      <c r="D7" s="30" t="s">
        <v>196</v>
      </c>
    </row>
    <row r="8" customFormat="false" ht="15" hidden="false" customHeight="false" outlineLevel="0" collapsed="false">
      <c r="A8" s="30" t="s">
        <v>15</v>
      </c>
      <c r="B8" s="30" t="s">
        <v>142</v>
      </c>
      <c r="C8" s="30" t="s">
        <v>188</v>
      </c>
      <c r="D8" s="30" t="s">
        <v>143</v>
      </c>
    </row>
    <row r="9" customFormat="false" ht="23.85" hidden="false" customHeight="false" outlineLevel="0" collapsed="false">
      <c r="A9" s="30" t="s">
        <v>15</v>
      </c>
      <c r="B9" s="30" t="s">
        <v>145</v>
      </c>
      <c r="C9" s="30" t="s">
        <v>190</v>
      </c>
      <c r="D9" s="30" t="s">
        <v>197</v>
      </c>
    </row>
    <row r="10" customFormat="false" ht="15" hidden="false" customHeight="false" outlineLevel="0" collapsed="false">
      <c r="A10" s="30" t="s">
        <v>9</v>
      </c>
      <c r="B10" s="30" t="s">
        <v>147</v>
      </c>
      <c r="C10" s="30" t="s">
        <v>188</v>
      </c>
      <c r="D10" s="30"/>
    </row>
    <row r="11" customFormat="false" ht="23.85" hidden="false" customHeight="false" outlineLevel="0" collapsed="false">
      <c r="A11" s="30" t="s">
        <v>9</v>
      </c>
      <c r="B11" s="30" t="s">
        <v>11</v>
      </c>
      <c r="C11" s="30" t="s">
        <v>190</v>
      </c>
      <c r="D11" s="30" t="s">
        <v>198</v>
      </c>
    </row>
    <row r="12" customFormat="false" ht="15" hidden="false" customHeight="false" outlineLevel="0" collapsed="false">
      <c r="A12" s="30" t="s">
        <v>9</v>
      </c>
      <c r="B12" s="30" t="s">
        <v>152</v>
      </c>
      <c r="C12" s="30" t="s">
        <v>153</v>
      </c>
      <c r="D12" s="3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5"/>
    <col collapsed="false" customWidth="true" hidden="false" outlineLevel="0" max="3" min="3" style="0" width="75"/>
  </cols>
  <sheetData>
    <row r="1" customFormat="false" ht="15" hidden="false" customHeight="false" outlineLevel="0" collapsed="false">
      <c r="A1" s="29" t="s">
        <v>3</v>
      </c>
      <c r="B1" s="29" t="s">
        <v>200</v>
      </c>
      <c r="C1" s="29" t="s">
        <v>201</v>
      </c>
    </row>
    <row r="2" customFormat="false" ht="46.25" hidden="false" customHeight="false" outlineLevel="0" collapsed="false">
      <c r="A2" s="30" t="s">
        <v>202</v>
      </c>
      <c r="B2" s="30" t="s">
        <v>203</v>
      </c>
      <c r="C2" s="30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3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31" t="s">
        <v>205</v>
      </c>
    </row>
    <row r="2" customFormat="false" ht="30" hidden="false" customHeight="true" outlineLevel="0" collapsed="false">
      <c r="A2" s="2" t="s">
        <v>206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2" t="s">
        <v>207</v>
      </c>
      <c r="B4" s="32" t="s">
        <v>7</v>
      </c>
      <c r="C4" s="32" t="s">
        <v>8</v>
      </c>
      <c r="D4" s="32" t="s">
        <v>65</v>
      </c>
    </row>
    <row r="5" customFormat="false" ht="15" hidden="false" customHeight="false" outlineLevel="0" collapsed="false">
      <c r="A5" s="5" t="s">
        <v>208</v>
      </c>
      <c r="B5" s="33" t="n">
        <v>466787</v>
      </c>
      <c r="C5" s="33" t="n">
        <v>497769</v>
      </c>
      <c r="D5" s="15" t="s">
        <v>209</v>
      </c>
    </row>
    <row r="6" customFormat="false" ht="15" hidden="false" customHeight="false" outlineLevel="0" collapsed="false">
      <c r="A6" s="5" t="s">
        <v>210</v>
      </c>
      <c r="B6" s="34" t="n">
        <v>0.239</v>
      </c>
      <c r="C6" s="34" t="n">
        <v>0.223</v>
      </c>
      <c r="D6" s="15" t="s">
        <v>211</v>
      </c>
    </row>
    <row r="7" customFormat="false" ht="15" hidden="false" customHeight="false" outlineLevel="0" collapsed="false">
      <c r="A7" s="5" t="s">
        <v>212</v>
      </c>
      <c r="B7" s="35" t="n">
        <f aca="false">B5*B6</f>
        <v>111562.093</v>
      </c>
      <c r="C7" s="35" t="n">
        <f aca="false">C5*C6</f>
        <v>111002.487</v>
      </c>
      <c r="D7" s="15" t="s">
        <v>213</v>
      </c>
    </row>
    <row r="8" customFormat="false" ht="15" hidden="false" customHeight="false" outlineLevel="0" collapsed="false">
      <c r="A8" s="5" t="s">
        <v>214</v>
      </c>
      <c r="B8" s="35" t="n">
        <f aca="false">26859101/1000</f>
        <v>26859.101</v>
      </c>
      <c r="C8" s="35" t="n">
        <f aca="false">26162497/1000</f>
        <v>26162.497</v>
      </c>
      <c r="D8" s="15" t="s">
        <v>215</v>
      </c>
    </row>
    <row r="9" customFormat="false" ht="15" hidden="false" customHeight="false" outlineLevel="0" collapsed="false">
      <c r="A9" s="5" t="s">
        <v>216</v>
      </c>
      <c r="B9" s="35" t="n">
        <f aca="false">14095458/1000</f>
        <v>14095.458</v>
      </c>
      <c r="C9" s="35" t="n">
        <f aca="false">12596474/1000</f>
        <v>12596.474</v>
      </c>
      <c r="D9" s="15" t="s">
        <v>156</v>
      </c>
    </row>
    <row r="10" customFormat="false" ht="15" hidden="false" customHeight="false" outlineLevel="0" collapsed="false">
      <c r="A10" s="5" t="s">
        <v>217</v>
      </c>
      <c r="B10" s="35" t="n">
        <f aca="false">36244158/1000</f>
        <v>36244.158</v>
      </c>
      <c r="C10" s="35" t="n">
        <f aca="false">42107628/1000</f>
        <v>42107.628</v>
      </c>
      <c r="D10" s="15" t="s">
        <v>218</v>
      </c>
    </row>
    <row r="11" customFormat="false" ht="15" hidden="false" customHeight="false" outlineLevel="0" collapsed="false">
      <c r="A11" s="5" t="s">
        <v>219</v>
      </c>
      <c r="B11" s="35" t="n">
        <f aca="false">33494199/1000</f>
        <v>33494.199</v>
      </c>
      <c r="C11" s="35" t="n">
        <f aca="false">32933666/1000</f>
        <v>32933.666</v>
      </c>
      <c r="D11" s="15" t="s">
        <v>220</v>
      </c>
    </row>
    <row r="12" customFormat="false" ht="15" hidden="false" customHeight="false" outlineLevel="0" collapsed="false">
      <c r="A12" s="5" t="s">
        <v>221</v>
      </c>
      <c r="B12" s="35" t="n">
        <f aca="false">SUM(B8:B11)</f>
        <v>110692.916</v>
      </c>
      <c r="C12" s="35" t="n">
        <f aca="false">IF(COUNT(C8:C11)=4,SUM(C8:C11),"incompleto")</f>
        <v>113800.265</v>
      </c>
      <c r="D12" s="15" t="s">
        <v>213</v>
      </c>
    </row>
    <row r="13" customFormat="false" ht="15" hidden="false" customHeight="false" outlineLevel="0" collapsed="false">
      <c r="A13" s="5" t="s">
        <v>222</v>
      </c>
      <c r="B13" s="36" t="n">
        <f aca="false">B12/B7</f>
        <v>0.992209029280223</v>
      </c>
      <c r="C13" s="36" t="n">
        <f aca="false">IF(ISNUMBER(C12),C12/C7,"")</f>
        <v>1.02520464248697</v>
      </c>
      <c r="D13" s="15" t="s">
        <v>223</v>
      </c>
    </row>
    <row r="14" customFormat="false" ht="15" hidden="false" customHeight="false" outlineLevel="0" collapsed="false">
      <c r="A14" s="5" t="s">
        <v>224</v>
      </c>
      <c r="B14" s="35" t="n">
        <f aca="false">B7-B8-B9-B10</f>
        <v>34363.376</v>
      </c>
      <c r="C14" s="35" t="n">
        <f aca="false">C7-C8-C9-C10</f>
        <v>30135.888</v>
      </c>
      <c r="D14" s="15" t="s">
        <v>225</v>
      </c>
    </row>
    <row r="16" customFormat="false" ht="15" hidden="false" customHeight="false" outlineLevel="0" collapsed="false">
      <c r="A16" s="13" t="s">
        <v>226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2026-09-29T13:43:29Z</dcterms:created>
  <dc:creator>openpyxl</dc:creator>
  <dc:description/>
  <dc:language>en-US</dc:language>
  <cp:lastModifiedBy/>
  <dcterms:modified xsi:type="dcterms:W3CDTF">2026-09-29T13:43:29Z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